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_Dev\_Project\dss\tools\"/>
    </mc:Choice>
  </mc:AlternateContent>
  <xr:revisionPtr revIDLastSave="0" documentId="13_ncr:1_{ACDBC488-6648-454D-9753-29B430DBF0E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pplier_summary" sheetId="3" r:id="rId1"/>
    <sheet name="conditions" sheetId="5" r:id="rId2"/>
    <sheet name="topsis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B11" i="1"/>
  <c r="L21" i="1" l="1"/>
  <c r="L22" i="1"/>
  <c r="O22" i="1"/>
  <c r="J20" i="1"/>
  <c r="H20" i="1"/>
  <c r="G19" i="1"/>
  <c r="B23" i="1"/>
  <c r="K20" i="1"/>
  <c r="N22" i="1"/>
  <c r="K21" i="1"/>
  <c r="O19" i="1"/>
  <c r="J22" i="1"/>
  <c r="F21" i="1"/>
  <c r="H22" i="1"/>
  <c r="D20" i="1"/>
  <c r="J19" i="1"/>
  <c r="L19" i="1"/>
  <c r="K23" i="1"/>
  <c r="O23" i="1"/>
  <c r="M22" i="1"/>
  <c r="M19" i="1"/>
  <c r="K22" i="1"/>
  <c r="I23" i="1"/>
  <c r="L23" i="1"/>
  <c r="H23" i="1"/>
  <c r="M23" i="1"/>
  <c r="E21" i="1"/>
  <c r="E20" i="1"/>
  <c r="J23" i="1"/>
  <c r="H19" i="1"/>
  <c r="E22" i="1"/>
  <c r="D21" i="1"/>
  <c r="C22" i="1"/>
  <c r="H21" i="1"/>
  <c r="D23" i="1"/>
  <c r="B22" i="1"/>
  <c r="N23" i="1"/>
  <c r="G20" i="1"/>
  <c r="C21" i="1"/>
  <c r="F23" i="1"/>
  <c r="B19" i="1"/>
  <c r="E23" i="1"/>
  <c r="O20" i="1"/>
  <c r="C23" i="1"/>
  <c r="O21" i="1"/>
  <c r="M21" i="1"/>
  <c r="C19" i="1"/>
  <c r="C20" i="1"/>
  <c r="F22" i="1"/>
  <c r="B21" i="1"/>
  <c r="G21" i="1"/>
  <c r="G23" i="1"/>
  <c r="N21" i="1"/>
  <c r="F19" i="1"/>
  <c r="M20" i="1"/>
  <c r="L20" i="1"/>
  <c r="F20" i="1"/>
  <c r="N19" i="1"/>
  <c r="G22" i="1"/>
  <c r="D19" i="1"/>
  <c r="N20" i="1"/>
  <c r="B20" i="1"/>
  <c r="I21" i="1"/>
  <c r="J21" i="1"/>
  <c r="D22" i="1"/>
  <c r="E19" i="1"/>
  <c r="I22" i="1"/>
  <c r="I20" i="1"/>
  <c r="I19" i="1"/>
  <c r="K19" i="1"/>
  <c r="O25" i="1" l="1" a="1"/>
  <c r="O25" i="1" s="1"/>
  <c r="O26" i="1" s="1"/>
  <c r="G25" i="1" a="1"/>
  <c r="G25" i="1" s="1"/>
  <c r="G26" i="1" s="1"/>
  <c r="J25" i="1" a="1"/>
  <c r="J25" i="1" s="1"/>
  <c r="J26" i="1" s="1"/>
  <c r="B25" i="1" a="1"/>
  <c r="B25" i="1" s="1"/>
  <c r="B26" i="1" s="1"/>
  <c r="K25" i="1" a="1"/>
  <c r="K25" i="1" s="1"/>
  <c r="K26" i="1" s="1"/>
  <c r="L25" i="1" a="1"/>
  <c r="L25" i="1" s="1"/>
  <c r="L26" i="1" s="1"/>
  <c r="C25" i="1" a="1"/>
  <c r="C25" i="1" s="1"/>
  <c r="C26" i="1" s="1"/>
  <c r="D25" i="1" a="1"/>
  <c r="D25" i="1" s="1"/>
  <c r="D26" i="1" s="1"/>
  <c r="N25" i="1" a="1"/>
  <c r="N25" i="1" s="1"/>
  <c r="N26" i="1" s="1"/>
  <c r="M25" i="1" a="1"/>
  <c r="M25" i="1" s="1"/>
  <c r="M26" i="1" s="1"/>
  <c r="F25" i="1" a="1"/>
  <c r="F25" i="1" s="1"/>
  <c r="F26" i="1" s="1"/>
  <c r="I25" i="1" a="1"/>
  <c r="I25" i="1" s="1"/>
  <c r="I26" i="1" s="1"/>
  <c r="E25" i="1" a="1"/>
  <c r="E25" i="1" s="1"/>
  <c r="E26" i="1" s="1"/>
  <c r="H25" i="1" a="1"/>
  <c r="H25" i="1" s="1"/>
  <c r="H26" i="1" s="1"/>
  <c r="H27" i="1" l="1"/>
  <c r="F27" i="1"/>
  <c r="L27" i="1"/>
  <c r="I27" i="1"/>
  <c r="N27" i="1"/>
  <c r="K27" i="1"/>
  <c r="E27" i="1"/>
  <c r="M27" i="1"/>
  <c r="D27" i="1"/>
  <c r="C27" i="1"/>
  <c r="B27" i="1"/>
  <c r="G27" i="1"/>
  <c r="O27" i="1"/>
  <c r="J27" i="1"/>
  <c r="B35" i="1" l="1"/>
  <c r="B31" i="1"/>
  <c r="O31" i="1"/>
  <c r="O32" i="1"/>
  <c r="O34" i="1"/>
  <c r="O33" i="1"/>
  <c r="O35" i="1"/>
  <c r="L35" i="1"/>
  <c r="L31" i="1"/>
  <c r="L32" i="1"/>
  <c r="L33" i="1"/>
  <c r="L34" i="1"/>
  <c r="J33" i="1"/>
  <c r="J34" i="1"/>
  <c r="J35" i="1"/>
  <c r="J31" i="1"/>
  <c r="J32" i="1"/>
  <c r="G34" i="1"/>
  <c r="G32" i="1"/>
  <c r="G33" i="1"/>
  <c r="G35" i="1"/>
  <c r="G31" i="1"/>
  <c r="C31" i="1"/>
  <c r="C32" i="1"/>
  <c r="C33" i="1"/>
  <c r="C34" i="1"/>
  <c r="C35" i="1"/>
  <c r="D34" i="1"/>
  <c r="D33" i="1"/>
  <c r="D32" i="1"/>
  <c r="D35" i="1"/>
  <c r="D31" i="1"/>
  <c r="M34" i="1"/>
  <c r="M31" i="1"/>
  <c r="M35" i="1"/>
  <c r="M33" i="1"/>
  <c r="M32" i="1"/>
  <c r="E32" i="1"/>
  <c r="E33" i="1"/>
  <c r="E34" i="1"/>
  <c r="E31" i="1"/>
  <c r="E35" i="1"/>
  <c r="K31" i="1"/>
  <c r="K35" i="1"/>
  <c r="K34" i="1"/>
  <c r="K33" i="1"/>
  <c r="K32" i="1"/>
  <c r="N35" i="1"/>
  <c r="N33" i="1"/>
  <c r="N31" i="1"/>
  <c r="N32" i="1"/>
  <c r="N34" i="1"/>
  <c r="I31" i="1"/>
  <c r="I32" i="1"/>
  <c r="I35" i="1"/>
  <c r="I33" i="1"/>
  <c r="I34" i="1"/>
  <c r="F33" i="1"/>
  <c r="F32" i="1"/>
  <c r="F34" i="1"/>
  <c r="F31" i="1"/>
  <c r="F35" i="1"/>
  <c r="H35" i="1"/>
  <c r="H31" i="1"/>
  <c r="H33" i="1"/>
  <c r="H34" i="1"/>
  <c r="H32" i="1"/>
  <c r="B32" i="1"/>
  <c r="B33" i="1"/>
  <c r="B34" i="1"/>
  <c r="H41" i="1" l="1"/>
  <c r="H40" i="1"/>
  <c r="D40" i="1"/>
  <c r="D41" i="1"/>
  <c r="K41" i="1"/>
  <c r="K40" i="1"/>
  <c r="C41" i="1"/>
  <c r="C46" i="1" s="1" a="1"/>
  <c r="C46" i="1" s="1"/>
  <c r="C40" i="1"/>
  <c r="I40" i="1"/>
  <c r="I41" i="1"/>
  <c r="O40" i="1"/>
  <c r="O41" i="1"/>
  <c r="N40" i="1"/>
  <c r="N41" i="1"/>
  <c r="B40" i="1"/>
  <c r="B46" i="1" s="1" a="1"/>
  <c r="B46" i="1" s="1"/>
  <c r="B41" i="1"/>
  <c r="J40" i="1"/>
  <c r="J41" i="1"/>
  <c r="F41" i="1"/>
  <c r="F40" i="1"/>
  <c r="E40" i="1"/>
  <c r="E41" i="1"/>
  <c r="L40" i="1"/>
  <c r="L41" i="1"/>
  <c r="G40" i="1"/>
  <c r="G41" i="1"/>
  <c r="C48" i="1" s="1" a="1"/>
  <c r="C48" i="1" s="1"/>
  <c r="C47" i="1" a="1"/>
  <c r="C47" i="1" s="1"/>
  <c r="D47" i="1" s="1"/>
  <c r="B47" i="1" a="1"/>
  <c r="B47" i="1" s="1"/>
  <c r="M41" i="1"/>
  <c r="M40" i="1"/>
  <c r="D46" i="1" l="1"/>
  <c r="B49" i="1" a="1"/>
  <c r="B49" i="1" s="1"/>
  <c r="C45" i="1" a="1"/>
  <c r="C45" i="1" s="1"/>
  <c r="D45" i="1" s="1"/>
  <c r="B45" i="1" a="1"/>
  <c r="B45" i="1" s="1"/>
  <c r="B48" i="1" a="1"/>
  <c r="B48" i="1" s="1"/>
  <c r="D48" i="1" s="1"/>
  <c r="C49" i="1" a="1"/>
  <c r="C49" i="1" s="1"/>
  <c r="D4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<sst xmlns="http://schemas.openxmlformats.org/spreadsheetml/2006/main" count="171" uniqueCount="41">
  <si>
    <t>availability</t>
  </si>
  <si>
    <t>number_of_products_sold</t>
  </si>
  <si>
    <t>revenue_generated</t>
  </si>
  <si>
    <t>stock_levels</t>
  </si>
  <si>
    <t>lead_times</t>
  </si>
  <si>
    <t>order_quantities</t>
  </si>
  <si>
    <t>shipping_times</t>
  </si>
  <si>
    <t>shipping_costs</t>
  </si>
  <si>
    <t>production_volumes</t>
  </si>
  <si>
    <t>manufacturing_lead_time</t>
  </si>
  <si>
    <t>manufacturing_costs</t>
  </si>
  <si>
    <t>defect_rates</t>
  </si>
  <si>
    <t>costs</t>
  </si>
  <si>
    <t>inspection_results</t>
  </si>
  <si>
    <t>supplier_name</t>
  </si>
  <si>
    <t>Tiêu chí trung bình (mean)</t>
  </si>
  <si>
    <t>Tiêu chí tổng (sum)</t>
  </si>
  <si>
    <t>Agg</t>
  </si>
  <si>
    <t>Criteria Types</t>
  </si>
  <si>
    <t xml:space="preserve">Ma trận chuẩn hoá: </t>
  </si>
  <si>
    <t>Data:</t>
  </si>
  <si>
    <t>Entropy cho từng cột</t>
  </si>
  <si>
    <t>Tính Entropy (E_j) cho từng tiêu chí:</t>
  </si>
  <si>
    <t>Độ sai biệt</t>
  </si>
  <si>
    <t>Trọng số</t>
  </si>
  <si>
    <t>Ma trận chuẩn hóa có trọng số:</t>
  </si>
  <si>
    <t>A⁻</t>
  </si>
  <si>
    <t>supplier 1</t>
  </si>
  <si>
    <t>supplier 2</t>
  </si>
  <si>
    <t>supplier 3</t>
  </si>
  <si>
    <t>supplier 4</t>
  </si>
  <si>
    <t>supplier 5</t>
  </si>
  <si>
    <t>A⁺</t>
  </si>
  <si>
    <t>Tiêu chí cần tối đa hóa (max)</t>
  </si>
  <si>
    <t>Tiêu chí cần tối thiểu hóa (min)</t>
  </si>
  <si>
    <t>D⁺</t>
  </si>
  <si>
    <t>D⁻</t>
  </si>
  <si>
    <t>Xếp hạng:</t>
  </si>
  <si>
    <t>Cᵢ = D⁻ / (D⁺ + D⁻)</t>
  </si>
  <si>
    <t>Ranking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</si>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</sst>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0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9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6E41E0-3A51-47D6-8D0C-507A11686C40}" name="Table1" displayName="Table1" ref="A1:O6" totalsRowShown="0">
  <autoFilter ref="A1:O6" xr:uid="{9E6E41E0-3A51-47D6-8D0C-507A11686C40}"/>
  <tableColumns count="15">
    <tableColumn id="1" xr3:uid="{649BC043-1AE8-4FFE-97E6-FA55BE966612}" name="supplier_name"/>
    <tableColumn id="2" xr3:uid="{F48A962B-C4B9-43FE-9337-7C7CAABCF65C}" name="manufacturing_costs"/>
    <tableColumn id="3" xr3:uid="{2ADDF175-02CE-4281-BF17-0F22C958502D}" name="shipping_costs"/>
    <tableColumn id="4" xr3:uid="{CF46D0B6-3704-4A1E-B9F1-2DC488221C47}" name="costs"/>
    <tableColumn id="5" xr3:uid="{6811A79C-6C96-40D0-8504-93155ACDB634}" name="defect_rates"/>
    <tableColumn id="6" xr3:uid="{09E800FB-5465-423B-A9EA-635923C03D2A}" name="lead_times"/>
    <tableColumn id="7" xr3:uid="{E6EB6367-0DDB-4545-BBC8-DA06D0E0306E}" name="manufacturing_lead_time"/>
    <tableColumn id="8" xr3:uid="{FC858CF3-4845-4763-B5CE-470635BC6381}" name="shipping_times"/>
    <tableColumn id="9" xr3:uid="{F176A2BF-291A-4F16-9673-42E69B8D86EA}" name="availability"/>
    <tableColumn id="10" xr3:uid="{7A419B94-0EBD-4014-A0B1-169D7E48B0A7}" name="stock_levels"/>
    <tableColumn id="11" xr3:uid="{A01583CC-1A60-4196-A8E9-C0ADA5A48596}" name="inspection_results"/>
    <tableColumn id="12" xr3:uid="{F5A384E7-25C2-4815-BF07-6359C277B151}" name="production_volumes"/>
    <tableColumn id="13" xr3:uid="{AC58444A-9DAD-44CD-A499-31EBF6B5D41E}" name="order_quantities"/>
    <tableColumn id="14" xr3:uid="{829BE5E3-7910-4C79-B6A1-5600F2255A92}" name="revenue_generated"/>
    <tableColumn id="15" xr3:uid="{000F5064-4CA9-4CAE-BCB9-971C7245C2FD}" name="number_of_products_sol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312E2C-2FB1-4AB0-9EB5-7129FFBBE5B2}" name="Table14" displayName="Table14" ref="A10:O15" totalsRowShown="0" headerRowDxfId="76" dataDxfId="75">
  <autoFilter ref="A10:O15" xr:uid="{0C312E2C-2FB1-4AB0-9EB5-7129FFBBE5B2}"/>
  <tableColumns count="15">
    <tableColumn id="1" xr3:uid="{0A1D91DF-8A98-4842-BDD2-2E434B1E4483}" name="supplier_name" dataDxfId="91"/>
    <tableColumn id="2" xr3:uid="{33A2B790-EFE6-431C-AB14-54A89D0492B3}" name="manufacturing_costs" dataDxfId="90">
      <calculatedColumnFormula>B3/SQRT(SUMSQ(Table16[manufacturing_costs]))</calculatedColumnFormula>
    </tableColumn>
    <tableColumn id="3" xr3:uid="{5A85F90F-CE1C-4DC4-9BE7-708C0AEED098}" name="shipping_costs" dataDxfId="89">
      <calculatedColumnFormula>C3/SQRT(SUMSQ(Table16[shipping_costs]))</calculatedColumnFormula>
    </tableColumn>
    <tableColumn id="4" xr3:uid="{8431E0DC-20C5-440B-87E0-6DD54B935E4A}" name="costs" dataDxfId="88">
      <calculatedColumnFormula>D3/SQRT(SUMSQ(Table16[costs]))</calculatedColumnFormula>
    </tableColumn>
    <tableColumn id="5" xr3:uid="{6D47332D-68D1-4898-B854-823010191086}" name="defect_rates" dataDxfId="87">
      <calculatedColumnFormula>E3/SQRT(SUMSQ(Table16[defect_rates]))</calculatedColumnFormula>
    </tableColumn>
    <tableColumn id="6" xr3:uid="{B053840B-F30B-445F-9FD1-6E8C69D7472B}" name="lead_times" dataDxfId="86">
      <calculatedColumnFormula>F3/SQRT(SUMSQ(Table16[lead_times]))</calculatedColumnFormula>
    </tableColumn>
    <tableColumn id="7" xr3:uid="{D9ED9FFF-594F-485E-8FEC-505FDF836BFE}" name="manufacturing_lead_time" dataDxfId="85">
      <calculatedColumnFormula>G3/SQRT(SUMSQ(Table16[manufacturing_lead_time]))</calculatedColumnFormula>
    </tableColumn>
    <tableColumn id="8" xr3:uid="{0186B6BB-DA09-4CD3-90C0-A847089D8E5E}" name="shipping_times" dataDxfId="84">
      <calculatedColumnFormula>H3/SQRT(SUMSQ(Table16[shipping_times]))</calculatedColumnFormula>
    </tableColumn>
    <tableColumn id="9" xr3:uid="{54280F80-624F-4222-A36A-60F4077E8743}" name="availability" dataDxfId="83">
      <calculatedColumnFormula>I3/SQRT(SUMSQ(Table16[availability]))</calculatedColumnFormula>
    </tableColumn>
    <tableColumn id="10" xr3:uid="{C266BA6D-4BD5-4FF4-9983-5F9260597337}" name="stock_levels" dataDxfId="82">
      <calculatedColumnFormula>J3/SQRT(SUMSQ(Table16[stock_levels]))</calculatedColumnFormula>
    </tableColumn>
    <tableColumn id="11" xr3:uid="{7286E7BF-F833-43F4-A9B5-5BBF22571D56}" name="inspection_results" dataDxfId="81">
      <calculatedColumnFormula>K3/SQRT(SUMSQ(Table16[inspection_results]))</calculatedColumnFormula>
    </tableColumn>
    <tableColumn id="12" xr3:uid="{F28B008C-4512-4256-8BAF-EEE3071CC458}" name="production_volumes" dataDxfId="80">
      <calculatedColumnFormula>L3/SQRT(SUMSQ(Table16[production_volumes]))</calculatedColumnFormula>
    </tableColumn>
    <tableColumn id="13" xr3:uid="{E2BB8519-DAA2-4D86-AC16-F528BCFD6B0E}" name="order_quantities" dataDxfId="79">
      <calculatedColumnFormula>M3/SQRT(SUMSQ(Table16[order_quantities]))</calculatedColumnFormula>
    </tableColumn>
    <tableColumn id="14" xr3:uid="{43099701-05F1-4C05-9410-23B579DC076B}" name="revenue_generated" dataDxfId="78">
      <calculatedColumnFormula>N3/SQRT(SUMSQ(Table16[revenue_generated]))</calculatedColumnFormula>
    </tableColumn>
    <tableColumn id="15" xr3:uid="{829A8997-2867-4B54-92BE-E9F10B9D9C93}" name="number_of_products_sold" dataDxfId="77">
      <calculatedColumnFormula>O3/SQRT(SUMSQ(Table16[number_of_products_sold]))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1CAD41-A138-4B30-AD74-CF03F5E7C8EE}" name="Table16" displayName="Table16" ref="A2:O7" totalsRowShown="0" headerRowDxfId="59" dataDxfId="58">
  <autoFilter ref="A2:O7" xr:uid="{0D1CAD41-A138-4B30-AD74-CF03F5E7C8EE}"/>
  <tableColumns count="15">
    <tableColumn id="1" xr3:uid="{1DED719D-28D3-4CB8-8A2D-07561E07BB1A}" name="supplier_name" dataDxfId="74"/>
    <tableColumn id="2" xr3:uid="{F4C4B888-9E70-4321-AC9C-7C9E2E062DA2}" name="manufacturing_costs" dataDxfId="73"/>
    <tableColumn id="3" xr3:uid="{D84DEDD0-F6D3-43AB-A755-6A7EDA23060E}" name="shipping_costs" dataDxfId="72"/>
    <tableColumn id="4" xr3:uid="{A8F3DAC4-AE3E-4A68-98E9-D3FC665C497C}" name="costs" dataDxfId="71"/>
    <tableColumn id="5" xr3:uid="{2759489F-2C0B-4FD2-B54F-FCDC7354317E}" name="defect_rates" dataDxfId="70"/>
    <tableColumn id="6" xr3:uid="{56966151-33F3-4664-9F9A-D66C6243B65C}" name="lead_times" dataDxfId="69"/>
    <tableColumn id="7" xr3:uid="{3D266A9A-8B32-4EDA-9E58-87F130CC136B}" name="manufacturing_lead_time" dataDxfId="68"/>
    <tableColumn id="8" xr3:uid="{45DD4073-DCF1-4CED-8BC9-0A6ED751421F}" name="shipping_times" dataDxfId="67"/>
    <tableColumn id="9" xr3:uid="{3DF85720-E107-4C69-80DB-5D68DED5C928}" name="availability" dataDxfId="66"/>
    <tableColumn id="10" xr3:uid="{0CDE291E-E9DA-45E0-A65F-184BECCDE62D}" name="stock_levels" dataDxfId="65"/>
    <tableColumn id="11" xr3:uid="{92227FF1-0398-42FB-81D4-D74165478E4A}" name="inspection_results" dataDxfId="64"/>
    <tableColumn id="12" xr3:uid="{CCB5D7CA-6446-48ED-87B3-37BD2268E2A9}" name="production_volumes" dataDxfId="63"/>
    <tableColumn id="13" xr3:uid="{B4ED4912-7FEC-4581-A37A-6BEBB087565B}" name="order_quantities" dataDxfId="62"/>
    <tableColumn id="14" xr3:uid="{6705FED8-0FAF-43B7-A0F8-9D9A6F18591D}" name="revenue_generated" dataDxfId="61"/>
    <tableColumn id="15" xr3:uid="{D966105C-7981-4938-B550-57045B09084B}" name="number_of_products_sold" dataDxfId="6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DD7D491-03B7-4827-B158-7D5EE1C3AA4C}" name="Table7" displayName="Table7" ref="A18:O22" totalsRowShown="0" headerRowDxfId="42" dataDxfId="41">
  <autoFilter ref="A18:O22" xr:uid="{7DD7D491-03B7-4827-B158-7D5EE1C3AA4C}"/>
  <tableColumns count="15">
    <tableColumn id="1" xr3:uid="{4F845712-8154-4EDC-AD12-38F0C77906CC}" name="supplier_name" dataDxfId="57"/>
    <tableColumn id="2" xr3:uid="{EF0A916A-9213-4B49-8757-D5735325E1FE}" name="manufacturing_costs" dataDxfId="56">
      <calculatedColumnFormula>B11/SUM(Table14[manufacturing_costs])</calculatedColumnFormula>
    </tableColumn>
    <tableColumn id="3" xr3:uid="{CEE44804-95A5-446A-A8C9-C78F1159BD94}" name="shipping_costs" dataDxfId="55">
      <calculatedColumnFormula>C11/SUM(Table14[shipping_costs])</calculatedColumnFormula>
    </tableColumn>
    <tableColumn id="4" xr3:uid="{DDC3CA24-4023-4E47-B1EF-ADB1056F0BCF}" name="costs" dataDxfId="54">
      <calculatedColumnFormula>D11/SUM(Table14[costs])</calculatedColumnFormula>
    </tableColumn>
    <tableColumn id="5" xr3:uid="{390C05F0-85A8-4788-BC91-CBD4841D157A}" name="defect_rates" dataDxfId="53">
      <calculatedColumnFormula>E11/SUM(Table14[defect_rates])</calculatedColumnFormula>
    </tableColumn>
    <tableColumn id="6" xr3:uid="{E11D9F7C-57CB-48D0-9E8D-008D7D7446E8}" name="lead_times" dataDxfId="52">
      <calculatedColumnFormula>F11/SUM(Table14[lead_times])</calculatedColumnFormula>
    </tableColumn>
    <tableColumn id="7" xr3:uid="{0D54CD9E-F384-4D62-8D0E-7EB2FC96D8B6}" name="manufacturing_lead_time" dataDxfId="51">
      <calculatedColumnFormula>G11/SUM(Table14[manufacturing_lead_time])</calculatedColumnFormula>
    </tableColumn>
    <tableColumn id="8" xr3:uid="{AD74D6C8-FB92-4A5C-A09B-A07115092B92}" name="shipping_times" dataDxfId="50">
      <calculatedColumnFormula>H11/SUM(Table14[shipping_times])</calculatedColumnFormula>
    </tableColumn>
    <tableColumn id="9" xr3:uid="{442C2486-7C04-44BC-A78A-9D5748007714}" name="availability" dataDxfId="49">
      <calculatedColumnFormula>I11/SUM(Table14[availability])</calculatedColumnFormula>
    </tableColumn>
    <tableColumn id="10" xr3:uid="{3D6FD2AF-867C-4E06-9273-F956F3C54AE5}" name="stock_levels" dataDxfId="48">
      <calculatedColumnFormula>J11/SUM(Table14[stock_levels])</calculatedColumnFormula>
    </tableColumn>
    <tableColumn id="11" xr3:uid="{34531D84-B1E1-49AB-BC1A-E3355834674F}" name="inspection_results" dataDxfId="47">
      <calculatedColumnFormula>K11/SUM(Table14[inspection_results])</calculatedColumnFormula>
    </tableColumn>
    <tableColumn id="12" xr3:uid="{7BE0AF8A-78D2-41AF-A297-620AE0DABB0D}" name="production_volumes" dataDxfId="46">
      <calculatedColumnFormula>L11/SUM(Table14[production_volumes])</calculatedColumnFormula>
    </tableColumn>
    <tableColumn id="13" xr3:uid="{BE66E21C-73BE-4536-87E4-CD84A79C57BA}" name="order_quantities" dataDxfId="45">
      <calculatedColumnFormula>M11/SUM(Table14[order_quantities])</calculatedColumnFormula>
    </tableColumn>
    <tableColumn id="14" xr3:uid="{50182055-85AD-4A65-8917-26456ED4819E}" name="revenue_generated" dataDxfId="44">
      <calculatedColumnFormula>N11/SUM(Table14[revenue_generated])</calculatedColumnFormula>
    </tableColumn>
    <tableColumn id="15" xr3:uid="{35972DB8-D653-4F97-BBFC-10D848675A5D}" name="number_of_products_sold" dataDxfId="43">
      <calculatedColumnFormula>O11/SUM(Table14[number_of_products_sold])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582DD4-8D4C-4E59-B432-ABA191443C1D}" name="Table79" displayName="Table79" ref="A30:O35" totalsRowShown="0" headerRowDxfId="25" dataDxfId="24">
  <autoFilter ref="A30:O35" xr:uid="{89582DD4-8D4C-4E59-B432-ABA191443C1D}"/>
  <tableColumns count="15">
    <tableColumn id="1" xr3:uid="{7161A442-103B-457A-B9C9-75329CD64014}" name="supplier_name" dataDxfId="40"/>
    <tableColumn id="2" xr3:uid="{93933CE0-32A1-4103-8AE5-D524ED4B8E6C}" name="manufacturing_costs" dataDxfId="39">
      <calculatedColumnFormula>B11*$B$27</calculatedColumnFormula>
    </tableColumn>
    <tableColumn id="3" xr3:uid="{2B762177-7C86-4E5F-964A-B1922709554C}" name="shipping_costs" dataDxfId="38">
      <calculatedColumnFormula>C11*$C$27</calculatedColumnFormula>
    </tableColumn>
    <tableColumn id="4" xr3:uid="{25F78D64-8361-46F2-9B56-791919FE22D2}" name="costs" dataDxfId="37">
      <calculatedColumnFormula>D11*$D$27</calculatedColumnFormula>
    </tableColumn>
    <tableColumn id="5" xr3:uid="{A2FD80AF-1160-48CD-A8DC-DADCB6A635DC}" name="defect_rates" dataDxfId="36">
      <calculatedColumnFormula>E11*$E$27</calculatedColumnFormula>
    </tableColumn>
    <tableColumn id="6" xr3:uid="{4D6216B9-29DB-44D6-9C94-E57652C2FFCC}" name="lead_times" dataDxfId="35">
      <calculatedColumnFormula>F11*$F$27</calculatedColumnFormula>
    </tableColumn>
    <tableColumn id="7" xr3:uid="{26B63A24-BFE9-470C-8FED-BB9479B7F20C}" name="manufacturing_lead_time" dataDxfId="34">
      <calculatedColumnFormula>G11*$G$27</calculatedColumnFormula>
    </tableColumn>
    <tableColumn id="8" xr3:uid="{8A2471E4-C631-404D-8595-A8C295078A9F}" name="shipping_times" dataDxfId="33">
      <calculatedColumnFormula>H11*$H$27</calculatedColumnFormula>
    </tableColumn>
    <tableColumn id="9" xr3:uid="{CDC3517A-2178-409F-9476-6CD07688F302}" name="availability" dataDxfId="32">
      <calculatedColumnFormula>I11*$I$27</calculatedColumnFormula>
    </tableColumn>
    <tableColumn id="10" xr3:uid="{E71202E5-5170-46A6-922C-75BD674A432C}" name="stock_levels" dataDxfId="31">
      <calculatedColumnFormula>J11*$J$27</calculatedColumnFormula>
    </tableColumn>
    <tableColumn id="11" xr3:uid="{352F5122-8420-4714-8671-A39A8EAF2963}" name="inspection_results" dataDxfId="30">
      <calculatedColumnFormula>K11*$K$27</calculatedColumnFormula>
    </tableColumn>
    <tableColumn id="12" xr3:uid="{4F638847-7720-44BC-A0C6-5093F540FDF5}" name="production_volumes" dataDxfId="29">
      <calculatedColumnFormula>L11*$L$27</calculatedColumnFormula>
    </tableColumn>
    <tableColumn id="13" xr3:uid="{6883D8AE-C17B-41F0-9E52-E72DE86D4B10}" name="order_quantities" dataDxfId="28">
      <calculatedColumnFormula>M11*$M$27</calculatedColumnFormula>
    </tableColumn>
    <tableColumn id="14" xr3:uid="{45CA209C-C13B-4A10-82B6-86B6CDD709C1}" name="revenue_generated" dataDxfId="27">
      <calculatedColumnFormula>N11*$N$27</calculatedColumnFormula>
    </tableColumn>
    <tableColumn id="15" xr3:uid="{C2F4FE38-BBCD-43AD-B20D-1D52D66FD321}" name="number_of_products_sold" dataDxfId="26">
      <calculatedColumnFormula>O11*$O$27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E1DE21-2024-4F73-B19B-3F384311587B}" name="Table4" displayName="Table4" ref="A39:O41" totalsRowShown="0" headerRowDxfId="8" dataDxfId="7" headerRowBorderDxfId="96" tableBorderDxfId="97" totalsRowBorderDxfId="95">
  <autoFilter ref="A39:O41" xr:uid="{20E1DE21-2024-4F73-B19B-3F384311587B}"/>
  <tableColumns count="15">
    <tableColumn id="1" xr3:uid="{0245840F-3682-45A8-AE91-875A03268144}" name="Column1" dataDxfId="23"/>
    <tableColumn id="2" xr3:uid="{ABD60A6F-AAD7-4E9B-84BC-16409E0459EA}" name="manufacturing_costs" dataDxfId="22">
      <calculatedColumnFormula>MAX(Table79[manufacturing_costs])</calculatedColumnFormula>
    </tableColumn>
    <tableColumn id="3" xr3:uid="{E94844B5-C583-4CCD-ADE6-2A6746741FEB}" name="shipping_costs" dataDxfId="21">
      <calculatedColumnFormula>MAX(Table79[shipping_costs])</calculatedColumnFormula>
    </tableColumn>
    <tableColumn id="4" xr3:uid="{939EAD32-5FA1-429B-9E0C-DAE57050476C}" name="costs" dataDxfId="20">
      <calculatedColumnFormula>MAX(Table79[costs])</calculatedColumnFormula>
    </tableColumn>
    <tableColumn id="5" xr3:uid="{029A651F-EDAB-418C-9286-212A7D5C9CF4}" name="defect_rates" dataDxfId="19">
      <calculatedColumnFormula>MIN(Table79[defect_rates])</calculatedColumnFormula>
    </tableColumn>
    <tableColumn id="6" xr3:uid="{162F4633-2A02-482F-84FF-DE32221504F5}" name="lead_times" dataDxfId="18">
      <calculatedColumnFormula>MAX(Table79[lead_times])</calculatedColumnFormula>
    </tableColumn>
    <tableColumn id="7" xr3:uid="{DBD0F88C-DB77-4A59-997E-52850E2B5652}" name="manufacturing_lead_time" dataDxfId="17">
      <calculatedColumnFormula>MAX(Table79[manufacturing_lead_time])</calculatedColumnFormula>
    </tableColumn>
    <tableColumn id="8" xr3:uid="{A1E7C368-9C89-4E57-B948-18BB3ECA15D3}" name="shipping_times" dataDxfId="16">
      <calculatedColumnFormula>MAX(Table79[shipping_times])</calculatedColumnFormula>
    </tableColumn>
    <tableColumn id="9" xr3:uid="{548ECC83-F2B3-45BF-9328-C7B8AD88A52A}" name="availability" dataDxfId="15">
      <calculatedColumnFormula>MIN(Table79[availability])</calculatedColumnFormula>
    </tableColumn>
    <tableColumn id="10" xr3:uid="{595069E0-77B5-44CF-B35B-17B3B8E4594C}" name="stock_levels" dataDxfId="14">
      <calculatedColumnFormula>MIN(Table79[stock_levels])</calculatedColumnFormula>
    </tableColumn>
    <tableColumn id="11" xr3:uid="{3724752C-FBAA-4F21-9AA0-C820E07EAC05}" name="inspection_results" dataDxfId="13">
      <calculatedColumnFormula>MIN(Table79[inspection_results])</calculatedColumnFormula>
    </tableColumn>
    <tableColumn id="12" xr3:uid="{04AA1198-734E-4B54-B7B7-1D1A73815BA7}" name="production_volumes" dataDxfId="12">
      <calculatedColumnFormula>MIN(Table79[production_volumes])</calculatedColumnFormula>
    </tableColumn>
    <tableColumn id="13" xr3:uid="{3C66D84C-D89E-4E44-93AB-061F7D8139FE}" name="order_quantities" dataDxfId="11">
      <calculatedColumnFormula>MIN(Table79[order_quantities])</calculatedColumnFormula>
    </tableColumn>
    <tableColumn id="14" xr3:uid="{5180452C-489C-41A1-9D75-9EBD27FA8C6C}" name="revenue_generated" dataDxfId="10">
      <calculatedColumnFormula>MIN(Table79[revenue_generated])</calculatedColumnFormula>
    </tableColumn>
    <tableColumn id="15" xr3:uid="{BCCD70C8-AFC3-44BE-8442-CC12659FF984}" name="number_of_products_sold" dataDxfId="9">
      <calculatedColumnFormula>MIN(Table79[number_of_products_sold])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38C7E96-58B6-4B36-B9FE-DC1894A719F4}" name="Table9" displayName="Table9" ref="A44:E49" totalsRowShown="0" headerRowDxfId="1" dataDxfId="0" headerRowBorderDxfId="93" tableBorderDxfId="94" totalsRowBorderDxfId="92">
  <autoFilter ref="A44:E49" xr:uid="{E38C7E96-58B6-4B36-B9FE-DC1894A719F4}"/>
  <tableColumns count="5">
    <tableColumn id="1" xr3:uid="{38B91389-FD35-4773-A58E-17009CB1A9C0}" name="supplier_name" dataDxfId="6"/>
    <tableColumn id="2" xr3:uid="{2AF81854-9495-433C-B223-41D7996276EB}" name="D⁺" dataDxfId="5">
      <calculatedColumnFormula array="1">SQRT(SUMPRODUCT((B31:O31 - $B$40:$O$40)^2))</calculatedColumnFormula>
    </tableColumn>
    <tableColumn id="3" xr3:uid="{2245C506-6C90-416C-94CB-B4D7FC5B77EE}" name="D⁻" dataDxfId="4">
      <calculatedColumnFormula array="1">SQRT(SUMPRODUCT((B31:O31 - $B$41:$O$41)^2))</calculatedColumnFormula>
    </tableColumn>
    <tableColumn id="4" xr3:uid="{5697A1F7-EEFF-4E14-95E0-81518BC7D856}" name="Cᵢ = D⁻ / (D⁺ + D⁻)" dataDxfId="3">
      <calculatedColumnFormula>C45 / (B45 + C45)</calculatedColumnFormula>
    </tableColumn>
    <tableColumn id="5" xr3:uid="{491CF47D-FAD8-4ED6-869D-445F5C75F3C0}" name="Ranking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7723-33EF-4161-B7E9-22D0A18BB71B}">
  <dimension ref="A1:O6"/>
  <sheetViews>
    <sheetView workbookViewId="0">
      <selection activeCell="C15" sqref="C15"/>
    </sheetView>
  </sheetViews>
  <sheetFormatPr defaultRowHeight="14.4" x14ac:dyDescent="0.3"/>
  <cols>
    <col min="1" max="1" width="15.33203125" customWidth="1"/>
    <col min="2" max="2" width="20.5546875" customWidth="1"/>
    <col min="3" max="3" width="15.21875" customWidth="1"/>
    <col min="5" max="5" width="13.33203125" customWidth="1"/>
    <col min="6" max="6" width="12" customWidth="1"/>
    <col min="7" max="7" width="24.6640625" customWidth="1"/>
    <col min="8" max="8" width="15.5546875" customWidth="1"/>
    <col min="9" max="9" width="11.88671875" customWidth="1"/>
    <col min="10" max="10" width="13" customWidth="1"/>
    <col min="11" max="11" width="18" customWidth="1"/>
    <col min="12" max="12" width="20.33203125" customWidth="1"/>
    <col min="13" max="13" width="16.77734375" customWidth="1"/>
    <col min="14" max="14" width="19.33203125" customWidth="1"/>
    <col min="15" max="15" width="25.21875" customWidth="1"/>
  </cols>
  <sheetData>
    <row r="1" spans="1:15" x14ac:dyDescent="0.3">
      <c r="A1" t="s">
        <v>14</v>
      </c>
      <c r="B1" t="s">
        <v>10</v>
      </c>
      <c r="C1" t="s">
        <v>7</v>
      </c>
      <c r="D1" t="s">
        <v>12</v>
      </c>
      <c r="E1" t="s">
        <v>11</v>
      </c>
      <c r="F1" t="s">
        <v>4</v>
      </c>
      <c r="G1" t="s">
        <v>9</v>
      </c>
      <c r="H1" t="s">
        <v>6</v>
      </c>
      <c r="I1" t="s">
        <v>0</v>
      </c>
      <c r="J1" t="s">
        <v>3</v>
      </c>
      <c r="K1" t="s">
        <v>13</v>
      </c>
      <c r="L1" t="s">
        <v>8</v>
      </c>
      <c r="M1" t="s">
        <v>5</v>
      </c>
      <c r="N1" t="s">
        <v>2</v>
      </c>
      <c r="O1" t="s">
        <v>1</v>
      </c>
    </row>
    <row r="2" spans="1:15" x14ac:dyDescent="0.3">
      <c r="A2" t="s">
        <v>27</v>
      </c>
      <c r="B2">
        <v>45.254027200000003</v>
      </c>
      <c r="C2">
        <v>5.5123018290000001</v>
      </c>
      <c r="D2">
        <v>574.85113869999998</v>
      </c>
      <c r="E2">
        <v>1.803629712</v>
      </c>
      <c r="F2">
        <v>16.777777780000001</v>
      </c>
      <c r="G2">
        <v>12.592592590000001</v>
      </c>
      <c r="H2">
        <v>6.0740740740000003</v>
      </c>
      <c r="I2">
        <v>46.407407409999998</v>
      </c>
      <c r="J2">
        <v>42.296296300000002</v>
      </c>
      <c r="K2">
        <v>1.259259259</v>
      </c>
      <c r="L2">
        <v>13545</v>
      </c>
      <c r="M2">
        <v>1458</v>
      </c>
      <c r="N2">
        <v>157528.995</v>
      </c>
      <c r="O2">
        <v>11080</v>
      </c>
    </row>
    <row r="3" spans="1:15" x14ac:dyDescent="0.3">
      <c r="A3" t="s">
        <v>28</v>
      </c>
      <c r="B3">
        <v>41.622514189999997</v>
      </c>
      <c r="C3">
        <v>5.7391780609999996</v>
      </c>
      <c r="D3">
        <v>515.02724079999996</v>
      </c>
      <c r="E3">
        <v>2.3627501450000001</v>
      </c>
      <c r="F3">
        <v>16.227272729999999</v>
      </c>
      <c r="G3">
        <v>15.59090909</v>
      </c>
      <c r="H3">
        <v>5.5</v>
      </c>
      <c r="I3">
        <v>39.68181818</v>
      </c>
      <c r="J3">
        <v>46.454545449999998</v>
      </c>
      <c r="K3">
        <v>0.86363636399999999</v>
      </c>
      <c r="L3">
        <v>14105</v>
      </c>
      <c r="M3">
        <v>1022</v>
      </c>
      <c r="N3">
        <v>125467.4186</v>
      </c>
      <c r="O3">
        <v>11068</v>
      </c>
    </row>
    <row r="4" spans="1:15" x14ac:dyDescent="0.3">
      <c r="A4" t="s">
        <v>29</v>
      </c>
      <c r="B4">
        <v>43.634121309999998</v>
      </c>
      <c r="C4">
        <v>4.7887706249999997</v>
      </c>
      <c r="D4">
        <v>468.80010149999998</v>
      </c>
      <c r="E4">
        <v>2.4657860309999999</v>
      </c>
      <c r="F4">
        <v>14.33333333</v>
      </c>
      <c r="G4">
        <v>14.93333333</v>
      </c>
      <c r="H4">
        <v>5.2</v>
      </c>
      <c r="I4">
        <v>48.933333330000004</v>
      </c>
      <c r="J4">
        <v>43.6</v>
      </c>
      <c r="K4">
        <v>0.93333333299999999</v>
      </c>
      <c r="L4">
        <v>7997</v>
      </c>
      <c r="M4">
        <v>632</v>
      </c>
      <c r="N4">
        <v>97795.979640000005</v>
      </c>
      <c r="O4">
        <v>8083</v>
      </c>
    </row>
    <row r="5" spans="1:15" x14ac:dyDescent="0.3">
      <c r="A5" t="s">
        <v>30</v>
      </c>
      <c r="B5">
        <v>62.709726879999998</v>
      </c>
      <c r="C5">
        <v>5.7595729750000002</v>
      </c>
      <c r="D5">
        <v>521.81041760000005</v>
      </c>
      <c r="E5">
        <v>2.337397401</v>
      </c>
      <c r="F5">
        <v>17</v>
      </c>
      <c r="G5">
        <v>15.33333333</v>
      </c>
      <c r="H5">
        <v>5.5555555559999998</v>
      </c>
      <c r="I5">
        <v>57.944444439999998</v>
      </c>
      <c r="J5">
        <v>58.944444439999998</v>
      </c>
      <c r="K5">
        <v>0.33333333300000001</v>
      </c>
      <c r="L5">
        <v>11756</v>
      </c>
      <c r="M5">
        <v>842</v>
      </c>
      <c r="N5">
        <v>86468.961800000005</v>
      </c>
      <c r="O5">
        <v>7206</v>
      </c>
    </row>
    <row r="6" spans="1:15" x14ac:dyDescent="0.3">
      <c r="A6" t="s">
        <v>31</v>
      </c>
      <c r="B6">
        <v>44.768243009999999</v>
      </c>
      <c r="C6">
        <v>5.7898315309999999</v>
      </c>
      <c r="D6">
        <v>536.02272960000005</v>
      </c>
      <c r="E6">
        <v>2.6654083439999998</v>
      </c>
      <c r="F6">
        <v>14.722222220000001</v>
      </c>
      <c r="G6">
        <v>16.333333329999999</v>
      </c>
      <c r="H6">
        <v>6.2222222220000001</v>
      </c>
      <c r="I6">
        <v>52.055555560000002</v>
      </c>
      <c r="J6">
        <v>49.888888889999997</v>
      </c>
      <c r="K6">
        <v>0.77777777800000003</v>
      </c>
      <c r="L6">
        <v>9381</v>
      </c>
      <c r="M6">
        <v>968</v>
      </c>
      <c r="N6">
        <v>110343.46369999999</v>
      </c>
      <c r="O6">
        <v>8662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DADEA-5DD1-4ED8-9A0B-2C51335925D2}">
  <dimension ref="A1:E14"/>
  <sheetViews>
    <sheetView workbookViewId="0">
      <selection activeCell="D19" sqref="D19"/>
    </sheetView>
  </sheetViews>
  <sheetFormatPr defaultColWidth="19.77734375" defaultRowHeight="15.6" x14ac:dyDescent="0.3"/>
  <cols>
    <col min="1" max="1" width="26.109375" style="2" bestFit="1" customWidth="1"/>
    <col min="2" max="2" width="24.21875" style="2" bestFit="1" customWidth="1"/>
    <col min="3" max="3" width="13.21875" style="2" customWidth="1"/>
    <col min="4" max="4" width="29.109375" style="2" customWidth="1"/>
    <col min="5" max="5" width="31.5546875" style="2" customWidth="1"/>
    <col min="6" max="16384" width="19.77734375" style="2"/>
  </cols>
  <sheetData>
    <row r="1" spans="1:5" x14ac:dyDescent="0.3">
      <c r="A1" s="3" t="s">
        <v>17</v>
      </c>
      <c r="B1" s="3"/>
      <c r="D1" s="3" t="s">
        <v>18</v>
      </c>
      <c r="E1" s="3"/>
    </row>
    <row r="2" spans="1:5" x14ac:dyDescent="0.3">
      <c r="A2" s="3"/>
      <c r="B2" s="3"/>
      <c r="D2" s="3"/>
      <c r="E2" s="3"/>
    </row>
    <row r="3" spans="1:5" x14ac:dyDescent="0.3">
      <c r="A3" s="4"/>
      <c r="B3" s="4"/>
      <c r="D3" s="10"/>
      <c r="E3" s="10"/>
    </row>
    <row r="4" spans="1:5" x14ac:dyDescent="0.3">
      <c r="A4" s="11" t="s">
        <v>15</v>
      </c>
      <c r="B4" s="11" t="s">
        <v>16</v>
      </c>
      <c r="D4" s="11" t="s">
        <v>33</v>
      </c>
      <c r="E4" s="11" t="s">
        <v>34</v>
      </c>
    </row>
    <row r="5" spans="1:5" x14ac:dyDescent="0.3">
      <c r="A5" s="1" t="s">
        <v>10</v>
      </c>
      <c r="B5" s="1" t="s">
        <v>8</v>
      </c>
      <c r="D5" s="1" t="s">
        <v>2</v>
      </c>
      <c r="E5" s="1" t="s">
        <v>4</v>
      </c>
    </row>
    <row r="6" spans="1:5" x14ac:dyDescent="0.3">
      <c r="A6" s="1" t="s">
        <v>7</v>
      </c>
      <c r="B6" s="1" t="s">
        <v>5</v>
      </c>
      <c r="D6" s="1" t="s">
        <v>1</v>
      </c>
      <c r="E6" s="1" t="s">
        <v>9</v>
      </c>
    </row>
    <row r="7" spans="1:5" x14ac:dyDescent="0.3">
      <c r="A7" s="1" t="s">
        <v>12</v>
      </c>
      <c r="B7" s="1" t="s">
        <v>2</v>
      </c>
      <c r="D7" s="1" t="s">
        <v>8</v>
      </c>
      <c r="E7" s="1" t="s">
        <v>6</v>
      </c>
    </row>
    <row r="8" spans="1:5" x14ac:dyDescent="0.3">
      <c r="A8" s="1" t="s">
        <v>11</v>
      </c>
      <c r="B8" s="1" t="s">
        <v>1</v>
      </c>
      <c r="D8" s="1" t="s">
        <v>0</v>
      </c>
      <c r="E8" s="1" t="s">
        <v>10</v>
      </c>
    </row>
    <row r="9" spans="1:5" x14ac:dyDescent="0.3">
      <c r="A9" s="1" t="s">
        <v>4</v>
      </c>
      <c r="B9" s="1"/>
      <c r="D9" s="1" t="s">
        <v>3</v>
      </c>
      <c r="E9" s="1" t="s">
        <v>7</v>
      </c>
    </row>
    <row r="10" spans="1:5" x14ac:dyDescent="0.3">
      <c r="A10" s="1" t="s">
        <v>9</v>
      </c>
      <c r="B10" s="1"/>
      <c r="D10" s="1" t="s">
        <v>5</v>
      </c>
      <c r="E10" s="1" t="s">
        <v>12</v>
      </c>
    </row>
    <row r="11" spans="1:5" x14ac:dyDescent="0.3">
      <c r="A11" s="1" t="s">
        <v>6</v>
      </c>
      <c r="B11" s="1"/>
      <c r="D11" s="1" t="s">
        <v>13</v>
      </c>
      <c r="E11" s="1"/>
    </row>
    <row r="12" spans="1:5" x14ac:dyDescent="0.3">
      <c r="A12" s="1" t="s">
        <v>0</v>
      </c>
      <c r="B12" s="1"/>
      <c r="D12" s="1" t="s">
        <v>11</v>
      </c>
      <c r="E12" s="1"/>
    </row>
    <row r="13" spans="1:5" x14ac:dyDescent="0.3">
      <c r="A13" s="1" t="s">
        <v>3</v>
      </c>
      <c r="B13" s="1"/>
      <c r="D13" s="1" t="s">
        <v>3</v>
      </c>
      <c r="E13" s="1"/>
    </row>
    <row r="14" spans="1:5" x14ac:dyDescent="0.3">
      <c r="A14" s="1" t="s">
        <v>13</v>
      </c>
      <c r="B14" s="1"/>
      <c r="D14" s="1" t="s">
        <v>13</v>
      </c>
      <c r="E14" s="1"/>
    </row>
  </sheetData>
  <mergeCells count="2">
    <mergeCell ref="A1:B3"/>
    <mergeCell ref="D1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topLeftCell="A29" workbookViewId="0">
      <selection activeCell="G47" sqref="G47"/>
    </sheetView>
  </sheetViews>
  <sheetFormatPr defaultRowHeight="13.2" x14ac:dyDescent="0.25"/>
  <cols>
    <col min="1" max="1" width="24.5546875" style="5" bestFit="1" customWidth="1"/>
    <col min="2" max="2" width="23.33203125" style="5" bestFit="1" customWidth="1"/>
    <col min="3" max="3" width="17.88671875" style="5" bestFit="1" customWidth="1"/>
    <col min="4" max="4" width="19.5546875" style="5" bestFit="1" customWidth="1"/>
    <col min="5" max="5" width="15.88671875" style="5" bestFit="1" customWidth="1"/>
    <col min="6" max="6" width="14.5546875" style="5" bestFit="1" customWidth="1"/>
    <col min="7" max="7" width="27.5546875" style="5" bestFit="1" customWidth="1"/>
    <col min="8" max="8" width="18.21875" style="5" bestFit="1" customWidth="1"/>
    <col min="9" max="9" width="14.88671875" style="5" bestFit="1" customWidth="1"/>
    <col min="10" max="10" width="15.5546875" style="5" bestFit="1" customWidth="1"/>
    <col min="11" max="11" width="20.77734375" style="5" bestFit="1" customWidth="1"/>
    <col min="12" max="12" width="23.109375" style="5" bestFit="1" customWidth="1"/>
    <col min="13" max="13" width="19.44140625" style="5" bestFit="1" customWidth="1"/>
    <col min="14" max="14" width="22.109375" style="5" bestFit="1" customWidth="1"/>
    <col min="15" max="15" width="28.109375" style="5" bestFit="1" customWidth="1"/>
    <col min="16" max="16" width="14.33203125" style="5" customWidth="1"/>
    <col min="17" max="17" width="8.88671875" style="5"/>
    <col min="18" max="18" width="23.6640625" style="5" customWidth="1"/>
    <col min="19" max="19" width="17.109375" style="5" customWidth="1"/>
    <col min="20" max="20" width="9.6640625" style="5" customWidth="1"/>
    <col min="21" max="21" width="18" style="5" customWidth="1"/>
    <col min="22" max="22" width="21.6640625" style="5" customWidth="1"/>
    <col min="23" max="23" width="8.88671875" style="5"/>
    <col min="24" max="24" width="23.88671875" style="5" customWidth="1"/>
    <col min="25" max="25" width="15.33203125" style="5" customWidth="1"/>
    <col min="26" max="16384" width="8.88671875" style="5"/>
  </cols>
  <sheetData>
    <row r="1" spans="1:15" ht="17.399999999999999" x14ac:dyDescent="0.3">
      <c r="A1" s="29" t="s">
        <v>20</v>
      </c>
    </row>
    <row r="2" spans="1:15" x14ac:dyDescent="0.25">
      <c r="A2" s="5" t="s">
        <v>14</v>
      </c>
      <c r="B2" s="5" t="s">
        <v>10</v>
      </c>
      <c r="C2" s="5" t="s">
        <v>7</v>
      </c>
      <c r="D2" s="5" t="s">
        <v>12</v>
      </c>
      <c r="E2" s="5" t="s">
        <v>11</v>
      </c>
      <c r="F2" s="5" t="s">
        <v>4</v>
      </c>
      <c r="G2" s="5" t="s">
        <v>9</v>
      </c>
      <c r="H2" s="5" t="s">
        <v>6</v>
      </c>
      <c r="I2" s="5" t="s">
        <v>0</v>
      </c>
      <c r="J2" s="5" t="s">
        <v>3</v>
      </c>
      <c r="K2" s="5" t="s">
        <v>13</v>
      </c>
      <c r="L2" s="5" t="s">
        <v>8</v>
      </c>
      <c r="M2" s="5" t="s">
        <v>5</v>
      </c>
      <c r="N2" s="5" t="s">
        <v>2</v>
      </c>
      <c r="O2" s="5" t="s">
        <v>1</v>
      </c>
    </row>
    <row r="3" spans="1:15" ht="14.4" x14ac:dyDescent="0.3">
      <c r="A3" s="8" t="s">
        <v>27</v>
      </c>
      <c r="B3" s="5">
        <v>45.254027200000003</v>
      </c>
      <c r="C3" s="5">
        <v>5.5123018290000001</v>
      </c>
      <c r="D3" s="5">
        <v>574.85113869999998</v>
      </c>
      <c r="E3" s="5">
        <v>1.803629712</v>
      </c>
      <c r="F3" s="5">
        <v>16.777777780000001</v>
      </c>
      <c r="G3" s="5">
        <v>12.592592590000001</v>
      </c>
      <c r="H3" s="5">
        <v>6.0740740740000003</v>
      </c>
      <c r="I3" s="5">
        <v>46.407407409999998</v>
      </c>
      <c r="J3" s="5">
        <v>42.296296300000002</v>
      </c>
      <c r="K3" s="5">
        <v>1.259259259</v>
      </c>
      <c r="L3" s="5">
        <v>13545</v>
      </c>
      <c r="M3" s="5">
        <v>1458</v>
      </c>
      <c r="N3" s="5">
        <v>157528.995</v>
      </c>
      <c r="O3" s="5">
        <v>11080</v>
      </c>
    </row>
    <row r="4" spans="1:15" ht="14.4" x14ac:dyDescent="0.3">
      <c r="A4" s="8" t="s">
        <v>28</v>
      </c>
      <c r="B4" s="5">
        <v>41.622514189999997</v>
      </c>
      <c r="C4" s="5">
        <v>5.7391780609999996</v>
      </c>
      <c r="D4" s="5">
        <v>515.02724079999996</v>
      </c>
      <c r="E4" s="5">
        <v>2.3627501450000001</v>
      </c>
      <c r="F4" s="5">
        <v>16.227272729999999</v>
      </c>
      <c r="G4" s="5">
        <v>15.59090909</v>
      </c>
      <c r="H4" s="5">
        <v>5.5</v>
      </c>
      <c r="I4" s="5">
        <v>39.68181818</v>
      </c>
      <c r="J4" s="5">
        <v>46.454545449999998</v>
      </c>
      <c r="K4" s="5">
        <v>0.86363636399999999</v>
      </c>
      <c r="L4" s="5">
        <v>14105</v>
      </c>
      <c r="M4" s="5">
        <v>1022</v>
      </c>
      <c r="N4" s="5">
        <v>125467.4186</v>
      </c>
      <c r="O4" s="5">
        <v>11068</v>
      </c>
    </row>
    <row r="5" spans="1:15" ht="14.4" x14ac:dyDescent="0.3">
      <c r="A5" s="8" t="s">
        <v>29</v>
      </c>
      <c r="B5" s="5">
        <v>43.634121309999998</v>
      </c>
      <c r="C5" s="5">
        <v>4.7887706249999997</v>
      </c>
      <c r="D5" s="5">
        <v>468.80010149999998</v>
      </c>
      <c r="E5" s="5">
        <v>2.4657860309999999</v>
      </c>
      <c r="F5" s="5">
        <v>14.33333333</v>
      </c>
      <c r="G5" s="5">
        <v>14.93333333</v>
      </c>
      <c r="H5" s="5">
        <v>5.2</v>
      </c>
      <c r="I5" s="5">
        <v>48.933333330000004</v>
      </c>
      <c r="J5" s="5">
        <v>43.6</v>
      </c>
      <c r="K5" s="5">
        <v>0.93333333299999999</v>
      </c>
      <c r="L5" s="5">
        <v>7997</v>
      </c>
      <c r="M5" s="5">
        <v>632</v>
      </c>
      <c r="N5" s="5">
        <v>97795.979640000005</v>
      </c>
      <c r="O5" s="5">
        <v>8083</v>
      </c>
    </row>
    <row r="6" spans="1:15" ht="14.4" x14ac:dyDescent="0.3">
      <c r="A6" s="8" t="s">
        <v>30</v>
      </c>
      <c r="B6" s="5">
        <v>62.709726879999998</v>
      </c>
      <c r="C6" s="5">
        <v>5.7595729750000002</v>
      </c>
      <c r="D6" s="5">
        <v>521.81041760000005</v>
      </c>
      <c r="E6" s="5">
        <v>2.337397401</v>
      </c>
      <c r="F6" s="5">
        <v>17</v>
      </c>
      <c r="G6" s="5">
        <v>15.33333333</v>
      </c>
      <c r="H6" s="5">
        <v>5.5555555559999998</v>
      </c>
      <c r="I6" s="5">
        <v>57.944444439999998</v>
      </c>
      <c r="J6" s="5">
        <v>58.944444439999998</v>
      </c>
      <c r="K6" s="5">
        <v>0.33333333300000001</v>
      </c>
      <c r="L6" s="5">
        <v>11756</v>
      </c>
      <c r="M6" s="5">
        <v>842</v>
      </c>
      <c r="N6" s="5">
        <v>86468.961800000005</v>
      </c>
      <c r="O6" s="5">
        <v>7206</v>
      </c>
    </row>
    <row r="7" spans="1:15" ht="14.4" x14ac:dyDescent="0.3">
      <c r="A7" s="8" t="s">
        <v>31</v>
      </c>
      <c r="B7" s="5">
        <v>44.768243009999999</v>
      </c>
      <c r="C7" s="5">
        <v>5.7898315309999999</v>
      </c>
      <c r="D7" s="5">
        <v>536.02272960000005</v>
      </c>
      <c r="E7" s="5">
        <v>2.6654083439999998</v>
      </c>
      <c r="F7" s="5">
        <v>14.722222220000001</v>
      </c>
      <c r="G7" s="5">
        <v>16.333333329999999</v>
      </c>
      <c r="H7" s="5">
        <v>6.2222222220000001</v>
      </c>
      <c r="I7" s="5">
        <v>52.055555560000002</v>
      </c>
      <c r="J7" s="5">
        <v>49.888888889999997</v>
      </c>
      <c r="K7" s="5">
        <v>0.77777777800000003</v>
      </c>
      <c r="L7" s="5">
        <v>9381</v>
      </c>
      <c r="M7" s="5">
        <v>968</v>
      </c>
      <c r="N7" s="5">
        <v>110343.46369999999</v>
      </c>
      <c r="O7" s="5">
        <v>8662</v>
      </c>
    </row>
    <row r="8" spans="1:15" s="7" customFormat="1" x14ac:dyDescent="0.25"/>
    <row r="9" spans="1:15" ht="17.399999999999999" x14ac:dyDescent="0.3">
      <c r="A9" s="29" t="s">
        <v>19</v>
      </c>
    </row>
    <row r="10" spans="1:15" x14ac:dyDescent="0.25">
      <c r="A10" s="5" t="s">
        <v>14</v>
      </c>
      <c r="B10" s="5" t="s">
        <v>10</v>
      </c>
      <c r="C10" s="5" t="s">
        <v>7</v>
      </c>
      <c r="D10" s="5" t="s">
        <v>12</v>
      </c>
      <c r="E10" s="5" t="s">
        <v>11</v>
      </c>
      <c r="F10" s="5" t="s">
        <v>4</v>
      </c>
      <c r="G10" s="5" t="s">
        <v>9</v>
      </c>
      <c r="H10" s="5" t="s">
        <v>6</v>
      </c>
      <c r="I10" s="5" t="s">
        <v>0</v>
      </c>
      <c r="J10" s="5" t="s">
        <v>3</v>
      </c>
      <c r="K10" s="5" t="s">
        <v>13</v>
      </c>
      <c r="L10" s="5" t="s">
        <v>8</v>
      </c>
      <c r="M10" s="5" t="s">
        <v>5</v>
      </c>
      <c r="N10" s="5" t="s">
        <v>2</v>
      </c>
      <c r="O10" s="5" t="s">
        <v>1</v>
      </c>
    </row>
    <row r="11" spans="1:15" ht="14.4" x14ac:dyDescent="0.3">
      <c r="A11" s="8" t="s">
        <v>27</v>
      </c>
      <c r="B11" s="5">
        <f>B3/SQRT(SUMSQ(Table16[manufacturing_costs]))</f>
        <v>0.41979323316248768</v>
      </c>
      <c r="C11" s="5">
        <f>C3/SQRT(SUMSQ(Table16[shipping_costs]))</f>
        <v>0.44571487356465167</v>
      </c>
      <c r="D11" s="5">
        <f>D3/SQRT(SUMSQ(Table16[costs]))</f>
        <v>0.49021920685082465</v>
      </c>
      <c r="E11" s="5">
        <f>E3/SQRT(SUMSQ(Table16[defect_rates]))</f>
        <v>0.34404130956222467</v>
      </c>
      <c r="F11" s="5">
        <f>F3/SQRT(SUMSQ(Table16[lead_times]))</f>
        <v>0.47341116707577791</v>
      </c>
      <c r="G11" s="5">
        <f>G3/SQRT(SUMSQ(Table16[manufacturing_lead_time]))</f>
        <v>0.37518134316013807</v>
      </c>
      <c r="H11" s="5">
        <f>H3/SQRT(SUMSQ(Table16[shipping_times]))</f>
        <v>0.47464623391007721</v>
      </c>
      <c r="I11" s="5">
        <f>I3/SQRT(SUMSQ(Table16[availability]))</f>
        <v>0.42032341858369571</v>
      </c>
      <c r="J11" s="5">
        <f>J3/SQRT(SUMSQ(Table16[stock_levels]))</f>
        <v>0.38918249801980159</v>
      </c>
      <c r="K11" s="5">
        <f>K3/SQRT(SUMSQ(Table16[inspection_results]))</f>
        <v>0.63612241753961563</v>
      </c>
      <c r="L11" s="5">
        <f>L3/SQRT(SUMSQ(Table16[production_volumes]))</f>
        <v>0.5222856363925239</v>
      </c>
      <c r="M11" s="5">
        <f>M3/SQRT(SUMSQ(Table16[order_quantities]))</f>
        <v>0.6384147135069187</v>
      </c>
      <c r="N11" s="5">
        <f>N3/SQRT(SUMSQ(Table16[revenue_generated]))</f>
        <v>0.59636681175226103</v>
      </c>
      <c r="O11" s="5">
        <f>O3/SQRT(SUMSQ(Table16[number_of_products_sold]))</f>
        <v>0.52968985099601296</v>
      </c>
    </row>
    <row r="12" spans="1:15" ht="14.4" x14ac:dyDescent="0.3">
      <c r="A12" s="8" t="s">
        <v>28</v>
      </c>
      <c r="B12" s="5">
        <f>B4/SQRT(SUMSQ(Table16[manufacturing_costs]))</f>
        <v>0.38610596415983989</v>
      </c>
      <c r="C12" s="5">
        <f>C4/SQRT(SUMSQ(Table16[shipping_costs]))</f>
        <v>0.46405968018041155</v>
      </c>
      <c r="D12" s="5">
        <f>D4/SQRT(SUMSQ(Table16[costs]))</f>
        <v>0.43920282747027056</v>
      </c>
      <c r="E12" s="5">
        <f>E4/SQRT(SUMSQ(Table16[defect_rates]))</f>
        <v>0.45069320417922693</v>
      </c>
      <c r="F12" s="5">
        <f>F4/SQRT(SUMSQ(Table16[lead_times]))</f>
        <v>0.45787780850952742</v>
      </c>
      <c r="G12" s="5">
        <f>G4/SQRT(SUMSQ(Table16[manufacturing_lead_time]))</f>
        <v>0.46451262293031953</v>
      </c>
      <c r="H12" s="5">
        <f>H4/SQRT(SUMSQ(Table16[shipping_times]))</f>
        <v>0.42978637644210999</v>
      </c>
      <c r="I12" s="5">
        <f>I4/SQRT(SUMSQ(Table16[availability]))</f>
        <v>0.35940808599103441</v>
      </c>
      <c r="J12" s="5">
        <f>J4/SQRT(SUMSQ(Table16[stock_levels]))</f>
        <v>0.42744395193310125</v>
      </c>
      <c r="K12" s="5">
        <f>K4/SQRT(SUMSQ(Table16[inspection_results]))</f>
        <v>0.43627112353263503</v>
      </c>
      <c r="L12" s="5">
        <f>L4/SQRT(SUMSQ(Table16[production_volumes]))</f>
        <v>0.54387884099789963</v>
      </c>
      <c r="M12" s="5">
        <f>M4/SQRT(SUMSQ(Table16[order_quantities]))</f>
        <v>0.44750331769826535</v>
      </c>
      <c r="N12" s="5">
        <f>N4/SQRT(SUMSQ(Table16[revenue_generated]))</f>
        <v>0.47498941010363416</v>
      </c>
      <c r="O12" s="5">
        <f>O4/SQRT(SUMSQ(Table16[number_of_products_sold]))</f>
        <v>0.52911617967724467</v>
      </c>
    </row>
    <row r="13" spans="1:15" ht="14.4" x14ac:dyDescent="0.3">
      <c r="A13" s="8" t="s">
        <v>29</v>
      </c>
      <c r="B13" s="5">
        <f>B5/SQRT(SUMSQ(Table16[manufacturing_costs]))</f>
        <v>0.40476638200564613</v>
      </c>
      <c r="C13" s="5">
        <f>C5/SQRT(SUMSQ(Table16[shipping_costs]))</f>
        <v>0.38721143360163285</v>
      </c>
      <c r="D13" s="5">
        <f>D5/SQRT(SUMSQ(Table16[costs]))</f>
        <v>0.39978143637086977</v>
      </c>
      <c r="E13" s="5">
        <f>E5/SQRT(SUMSQ(Table16[defect_rates]))</f>
        <v>0.47034723899329972</v>
      </c>
      <c r="F13" s="5">
        <f>F5/SQRT(SUMSQ(Table16[lead_times]))</f>
        <v>0.4044373545065183</v>
      </c>
      <c r="G13" s="5">
        <f>G5/SQRT(SUMSQ(Table16[manufacturing_lead_time]))</f>
        <v>0.44492093399866411</v>
      </c>
      <c r="H13" s="5">
        <f>H5/SQRT(SUMSQ(Table16[shipping_times]))</f>
        <v>0.40634348318163127</v>
      </c>
      <c r="I13" s="5">
        <f>I5/SQRT(SUMSQ(Table16[availability]))</f>
        <v>0.44320135719387516</v>
      </c>
      <c r="J13" s="5">
        <f>J5/SQRT(SUMSQ(Table16[stock_levels]))</f>
        <v>0.40117831578703383</v>
      </c>
      <c r="K13" s="5">
        <f>K5/SQRT(SUMSQ(Table16[inspection_results]))</f>
        <v>0.47147896822275193</v>
      </c>
      <c r="L13" s="5">
        <f>L5/SQRT(SUMSQ(Table16[production_volumes]))</f>
        <v>0.30835867362355218</v>
      </c>
      <c r="M13" s="5">
        <f>M5/SQRT(SUMSQ(Table16[order_quantities]))</f>
        <v>0.27673394988777272</v>
      </c>
      <c r="N13" s="5">
        <f>N5/SQRT(SUMSQ(Table16[revenue_generated]))</f>
        <v>0.37023201081233226</v>
      </c>
      <c r="O13" s="5">
        <f>O5/SQRT(SUMSQ(Table16[number_of_products_sold]))</f>
        <v>0.38641543913364373</v>
      </c>
    </row>
    <row r="14" spans="1:15" ht="14.4" x14ac:dyDescent="0.3">
      <c r="A14" s="8" t="s">
        <v>30</v>
      </c>
      <c r="B14" s="5">
        <f>B6/SQRT(SUMSQ(Table16[manufacturing_costs]))</f>
        <v>0.58171881325275199</v>
      </c>
      <c r="C14" s="5">
        <f>C6/SQRT(SUMSQ(Table16[shipping_costs]))</f>
        <v>0.46570877647391429</v>
      </c>
      <c r="D14" s="5">
        <f>D6/SQRT(SUMSQ(Table16[costs]))</f>
        <v>0.44498735728497152</v>
      </c>
      <c r="E14" s="5">
        <f>E6/SQRT(SUMSQ(Table16[defect_rates]))</f>
        <v>0.44585718313304235</v>
      </c>
      <c r="F14" s="5">
        <f>F6/SQRT(SUMSQ(Table16[lead_times]))</f>
        <v>0.47968151359602901</v>
      </c>
      <c r="G14" s="5">
        <f>G6/SQRT(SUMSQ(Table16[manufacturing_lead_time]))</f>
        <v>0.45683845901914566</v>
      </c>
      <c r="H14" s="5">
        <f>H6/SQRT(SUMSQ(Table16[shipping_times]))</f>
        <v>0.43412765300655842</v>
      </c>
      <c r="I14" s="5">
        <f>I6/SQRT(SUMSQ(Table16[availability]))</f>
        <v>0.52481722927934227</v>
      </c>
      <c r="J14" s="5">
        <f>J6/SQRT(SUMSQ(Table16[stock_levels]))</f>
        <v>0.5423677281064585</v>
      </c>
      <c r="K14" s="5">
        <f>K6/SQRT(SUMSQ(Table16[inspection_results]))</f>
        <v>0.16838534568559224</v>
      </c>
      <c r="L14" s="5">
        <f>L6/SQRT(SUMSQ(Table16[production_volumes]))</f>
        <v>0.45330305953713634</v>
      </c>
      <c r="M14" s="5">
        <f>M6/SQRT(SUMSQ(Table16[order_quantities]))</f>
        <v>0.3686866864011149</v>
      </c>
      <c r="N14" s="5">
        <f>N6/SQRT(SUMSQ(Table16[revenue_generated]))</f>
        <v>0.32735065099725957</v>
      </c>
      <c r="O14" s="5">
        <f>O6/SQRT(SUMSQ(Table16[number_of_products_sold]))</f>
        <v>0.34448962692033114</v>
      </c>
    </row>
    <row r="15" spans="1:15" ht="14.4" x14ac:dyDescent="0.3">
      <c r="A15" s="8" t="s">
        <v>31</v>
      </c>
      <c r="B15" s="5">
        <f>B7/SQRT(SUMSQ(Table16[manufacturing_costs]))</f>
        <v>0.41528691784964145</v>
      </c>
      <c r="C15" s="5">
        <f>C7/SQRT(SUMSQ(Table16[shipping_costs]))</f>
        <v>0.46815542922990738</v>
      </c>
      <c r="D15" s="5">
        <f>D7/SQRT(SUMSQ(Table16[costs]))</f>
        <v>0.45710727468117318</v>
      </c>
      <c r="E15" s="5">
        <f>E7/SQRT(SUMSQ(Table16[defect_rates]))</f>
        <v>0.50842507810042137</v>
      </c>
      <c r="F15" s="5">
        <f>F7/SQRT(SUMSQ(Table16[lead_times]))</f>
        <v>0.41541046105804064</v>
      </c>
      <c r="G15" s="5">
        <f>G7/SQRT(SUMSQ(Table16[manufacturing_lead_time]))</f>
        <v>0.48663227157034938</v>
      </c>
      <c r="H15" s="5">
        <f>H7/SQRT(SUMSQ(Table16[shipping_times]))</f>
        <v>0.48622297131108255</v>
      </c>
      <c r="I15" s="5">
        <f>I7/SQRT(SUMSQ(Table16[availability]))</f>
        <v>0.47148009963034282</v>
      </c>
      <c r="J15" s="5">
        <f>J7/SQRT(SUMSQ(Table16[stock_levels]))</f>
        <v>0.45904450507744637</v>
      </c>
      <c r="K15" s="5">
        <f>K7/SQRT(SUMSQ(Table16[inspection_results]))</f>
        <v>0.39289914043820462</v>
      </c>
      <c r="L15" s="5">
        <f>L7/SQRT(SUMSQ(Table16[production_volumes]))</f>
        <v>0.36172473643398062</v>
      </c>
      <c r="M15" s="5">
        <f>M7/SQRT(SUMSQ(Table16[order_quantities]))</f>
        <v>0.42385832830912024</v>
      </c>
      <c r="N15" s="5">
        <f>N7/SQRT(SUMSQ(Table16[revenue_generated]))</f>
        <v>0.41773376161303094</v>
      </c>
      <c r="O15" s="5">
        <f>O7/SQRT(SUMSQ(Table16[number_of_products_sold]))</f>
        <v>0.41409508026421155</v>
      </c>
    </row>
    <row r="16" spans="1:15" s="7" customFormat="1" x14ac:dyDescent="0.25"/>
    <row r="17" spans="1:15" ht="34.799999999999997" x14ac:dyDescent="0.3">
      <c r="A17" s="30" t="s">
        <v>22</v>
      </c>
    </row>
    <row r="18" spans="1:15" ht="14.4" x14ac:dyDescent="0.3">
      <c r="A18" s="8" t="s">
        <v>14</v>
      </c>
      <c r="B18" s="8" t="s">
        <v>10</v>
      </c>
      <c r="C18" s="8" t="s">
        <v>7</v>
      </c>
      <c r="D18" s="8" t="s">
        <v>12</v>
      </c>
      <c r="E18" s="8" t="s">
        <v>11</v>
      </c>
      <c r="F18" s="8" t="s">
        <v>4</v>
      </c>
      <c r="G18" s="8" t="s">
        <v>9</v>
      </c>
      <c r="H18" s="8" t="s">
        <v>6</v>
      </c>
      <c r="I18" s="8" t="s">
        <v>0</v>
      </c>
      <c r="J18" s="8" t="s">
        <v>3</v>
      </c>
      <c r="K18" s="8" t="s">
        <v>13</v>
      </c>
      <c r="L18" s="8" t="s">
        <v>8</v>
      </c>
      <c r="M18" s="8" t="s">
        <v>5</v>
      </c>
      <c r="N18" s="8" t="s">
        <v>2</v>
      </c>
      <c r="O18" s="8" t="s">
        <v>1</v>
      </c>
    </row>
    <row r="19" spans="1:15" ht="14.4" x14ac:dyDescent="0.3">
      <c r="A19" s="8" t="s">
        <v>27</v>
      </c>
      <c r="B19" s="8">
        <f>B11/SUM(Table14[manufacturing_costs])</f>
        <v>0.19015205351409512</v>
      </c>
      <c r="C19" s="8">
        <f>C11/SUM(Table14[shipping_costs])</f>
        <v>0.19979596790189239</v>
      </c>
      <c r="D19" s="8">
        <f>D11/SUM(Table14[costs])</f>
        <v>0.2197013506473359</v>
      </c>
      <c r="E19" s="8">
        <f>E11/SUM(Table14[defect_rates])</f>
        <v>0.15501797244476362</v>
      </c>
      <c r="F19" s="8">
        <f>F11/SUM(Table14[lead_times])</f>
        <v>0.21221413060338995</v>
      </c>
      <c r="G19" s="8">
        <f>G11/SUM(Table14[manufacturing_lead_time])</f>
        <v>0.16838730881535624</v>
      </c>
      <c r="H19" s="8">
        <f>H11/SUM(Table14[shipping_times])</f>
        <v>0.21273835775995467</v>
      </c>
      <c r="I19" s="8">
        <f>I11/SUM(Table14[availability])</f>
        <v>0.18940054995161504</v>
      </c>
      <c r="J19" s="8">
        <f>J11/SUM(Table14[stock_levels])</f>
        <v>0.17536928484619876</v>
      </c>
      <c r="K19" s="8">
        <f>K11/SUM(Table14[inspection_results])</f>
        <v>0.30217338608186112</v>
      </c>
      <c r="L19" s="8">
        <f>L11/SUM(Table14[production_volumes])</f>
        <v>0.23853550295857986</v>
      </c>
      <c r="M19" s="8">
        <f>M11/SUM(Table14[order_quantities])</f>
        <v>0.2962210483543275</v>
      </c>
      <c r="N19" s="8">
        <f>N11/SUM(Table14[revenue_generated])</f>
        <v>0.27272797921533493</v>
      </c>
      <c r="O19" s="8">
        <f>O11/SUM(Table14[number_of_products_sold])</f>
        <v>0.24035228529903038</v>
      </c>
    </row>
    <row r="20" spans="1:15" ht="14.4" x14ac:dyDescent="0.3">
      <c r="A20" s="8" t="s">
        <v>28</v>
      </c>
      <c r="B20" s="8">
        <f>B12/SUM(Table14[manufacturing_costs])</f>
        <v>0.1748928666761411</v>
      </c>
      <c r="C20" s="8">
        <f>C12/SUM(Table14[shipping_costs])</f>
        <v>0.20801920345258385</v>
      </c>
      <c r="D20" s="8">
        <f>D12/SUM(Table14[costs])</f>
        <v>0.19683735980730466</v>
      </c>
      <c r="E20" s="8">
        <f>E12/SUM(Table14[defect_rates])</f>
        <v>0.20307313326820559</v>
      </c>
      <c r="F20" s="8">
        <f>F12/SUM(Table14[lead_times])</f>
        <v>0.20525105407976429</v>
      </c>
      <c r="G20" s="8">
        <f>G12/SUM(Table14[manufacturing_lead_time])</f>
        <v>0.20848059721512635</v>
      </c>
      <c r="H20" s="8">
        <f>H12/SUM(Table14[shipping_times])</f>
        <v>0.19263198858377154</v>
      </c>
      <c r="I20" s="8">
        <f>I12/SUM(Table14[availability])</f>
        <v>0.16195169275395632</v>
      </c>
      <c r="J20" s="8">
        <f>J12/SUM(Table14[stock_levels])</f>
        <v>0.19261025494144124</v>
      </c>
      <c r="K20" s="8">
        <f>K12/SUM(Table14[inspection_results])</f>
        <v>0.20723923416735165</v>
      </c>
      <c r="L20" s="8">
        <f>L12/SUM(Table14[production_volumes])</f>
        <v>0.2483974358974359</v>
      </c>
      <c r="M20" s="8">
        <f>M12/SUM(Table14[order_quantities])</f>
        <v>0.20763917106867125</v>
      </c>
      <c r="N20" s="8">
        <f>N12/SUM(Table14[revenue_generated])</f>
        <v>0.21722017290939058</v>
      </c>
      <c r="O20" s="8">
        <f>O12/SUM(Table14[number_of_products_sold])</f>
        <v>0.24009197596477147</v>
      </c>
    </row>
    <row r="21" spans="1:15" ht="14.4" x14ac:dyDescent="0.3">
      <c r="A21" s="8" t="s">
        <v>29</v>
      </c>
      <c r="B21" s="8">
        <f>B13/SUM(Table14[manufacturing_costs])</f>
        <v>0.18334540114431269</v>
      </c>
      <c r="C21" s="8">
        <f>C13/SUM(Table14[shipping_costs])</f>
        <v>0.17357123970397614</v>
      </c>
      <c r="D21" s="8">
        <f>D13/SUM(Table14[costs])</f>
        <v>0.17916989034079153</v>
      </c>
      <c r="E21" s="8">
        <f>E13/SUM(Table14[defect_rates])</f>
        <v>0.21192883908769908</v>
      </c>
      <c r="F21" s="8">
        <f>F13/SUM(Table14[lead_times])</f>
        <v>0.18129551548241699</v>
      </c>
      <c r="G21" s="8">
        <f>G13/SUM(Table14[manufacturing_lead_time])</f>
        <v>0.19968753797992619</v>
      </c>
      <c r="H21" s="8">
        <f>H13/SUM(Table14[shipping_times])</f>
        <v>0.18212478920647493</v>
      </c>
      <c r="I21" s="8">
        <f>I13/SUM(Table14[availability])</f>
        <v>0.19970950244616764</v>
      </c>
      <c r="J21" s="8">
        <f>J13/SUM(Table14[stock_levels])</f>
        <v>0.18077471287466526</v>
      </c>
      <c r="K21" s="8">
        <f>K13/SUM(Table14[inspection_results])</f>
        <v>0.22396380376797315</v>
      </c>
      <c r="L21" s="8">
        <f>L13/SUM(Table14[production_volumes])</f>
        <v>0.14083192448577064</v>
      </c>
      <c r="M21" s="8">
        <f>M13/SUM(Table14[order_quantities])</f>
        <v>0.12840308817553839</v>
      </c>
      <c r="N21" s="8">
        <f>N13/SUM(Table14[revenue_generated])</f>
        <v>0.16931295665665383</v>
      </c>
      <c r="O21" s="8">
        <f>O13/SUM(Table14[number_of_products_sold])</f>
        <v>0.17534002906787569</v>
      </c>
    </row>
    <row r="22" spans="1:15" ht="14.4" x14ac:dyDescent="0.3">
      <c r="A22" s="8" t="s">
        <v>30</v>
      </c>
      <c r="B22" s="8">
        <f>B14/SUM(Table14[manufacturing_costs])</f>
        <v>0.26349883268599017</v>
      </c>
      <c r="C22" s="8">
        <f>C14/SUM(Table14[shipping_costs])</f>
        <v>0.20875842668623706</v>
      </c>
      <c r="D22" s="8">
        <f>D14/SUM(Table14[costs])</f>
        <v>0.19942981027719478</v>
      </c>
      <c r="E22" s="8">
        <f>E14/SUM(Table14[defect_rates])</f>
        <v>0.20089412116575295</v>
      </c>
      <c r="F22" s="8">
        <f>F14/SUM(Table14[lead_times])</f>
        <v>0.21502491376170965</v>
      </c>
      <c r="G22" s="8">
        <f>G14/SUM(Table14[manufacturing_lead_time])</f>
        <v>0.20503631131986813</v>
      </c>
      <c r="H22" s="8">
        <f>H14/SUM(Table14[shipping_times])</f>
        <v>0.19457776626180007</v>
      </c>
      <c r="I22" s="8">
        <f>I14/SUM(Table14[availability])</f>
        <v>0.23648616150041468</v>
      </c>
      <c r="J22" s="8">
        <f>J14/SUM(Table14[stock_levels])</f>
        <v>0.24439598667884541</v>
      </c>
      <c r="K22" s="8">
        <f>K14/SUM(Table14[inspection_results])</f>
        <v>7.9987072722855851E-2</v>
      </c>
      <c r="L22" s="8">
        <f>L14/SUM(Table14[production_volumes])</f>
        <v>0.20703014933784164</v>
      </c>
      <c r="M22" s="8">
        <f>M14/SUM(Table14[order_quantities])</f>
        <v>0.17106867127184069</v>
      </c>
      <c r="N22" s="8">
        <f>N14/SUM(Table14[revenue_generated])</f>
        <v>0.14970263230944872</v>
      </c>
      <c r="O22" s="8">
        <f>O14/SUM(Table14[number_of_products_sold])</f>
        <v>0.15631575522245603</v>
      </c>
    </row>
    <row r="23" spans="1:15" ht="14.4" x14ac:dyDescent="0.3">
      <c r="A23" s="8" t="s">
        <v>31</v>
      </c>
      <c r="B23" s="8">
        <f>B15/SUM(Table14[manufacturing_costs])</f>
        <v>0.18811084597946093</v>
      </c>
      <c r="C23" s="8">
        <f>C15/SUM(Table14[shipping_costs])</f>
        <v>0.20985516225531062</v>
      </c>
      <c r="D23" s="8">
        <f>D15/SUM(Table14[costs])</f>
        <v>0.20486158892737308</v>
      </c>
      <c r="E23" s="8">
        <f>E15/SUM(Table14[defect_rates])</f>
        <v>0.22908593403357894</v>
      </c>
      <c r="F23" s="8">
        <f>F15/SUM(Table14[lead_times])</f>
        <v>0.18621438607271917</v>
      </c>
      <c r="G23" s="8">
        <f>G15/SUM(Table14[manufacturing_lead_time])</f>
        <v>0.21840824466972297</v>
      </c>
      <c r="H23" s="8">
        <f>H15/SUM(Table14[shipping_times])</f>
        <v>0.21792709818799882</v>
      </c>
      <c r="I23" s="8">
        <f>I15/SUM(Table14[availability])</f>
        <v>0.21245209334784626</v>
      </c>
      <c r="J23" s="8">
        <f>J15/SUM(Table14[stock_levels])</f>
        <v>0.20684976065884925</v>
      </c>
      <c r="K23" s="8">
        <f>K15/SUM(Table14[inspection_results])</f>
        <v>0.18663650325995823</v>
      </c>
      <c r="L23" s="8">
        <f>L15/SUM(Table14[production_volumes])</f>
        <v>0.16520498732037195</v>
      </c>
      <c r="M23" s="8">
        <f>M15/SUM(Table14[order_quantities])</f>
        <v>0.19666802112962209</v>
      </c>
      <c r="N23" s="8">
        <f>N15/SUM(Table14[revenue_generated])</f>
        <v>0.19103625890917197</v>
      </c>
      <c r="O23" s="8">
        <f>O15/SUM(Table14[number_of_products_sold])</f>
        <v>0.18789995444586652</v>
      </c>
    </row>
    <row r="25" spans="1:15" ht="13.8" x14ac:dyDescent="0.3">
      <c r="A25" s="12" t="s">
        <v>21</v>
      </c>
      <c r="B25" s="13" cm="1">
        <f t="array" ref="B25" xml:space="preserve"> -1/LN(5) * SUMPRODUCT(B19:B23, LN(B19:B23))</f>
        <v>0.99246747941383806</v>
      </c>
      <c r="C25" s="13" cm="1">
        <f t="array" ref="C25" xml:space="preserve"> -1/LN(5) * SUMPRODUCT(C19:C23, LN(C19:C23))</f>
        <v>0.99849925324789324</v>
      </c>
      <c r="D25" s="13" cm="1">
        <f t="array" ref="D25" xml:space="preserve"> -1/LN(5) * SUMPRODUCT(D19:D23, LN(D19:D23))</f>
        <v>0.99866473270691924</v>
      </c>
      <c r="E25" s="13" cm="1">
        <f t="array" ref="E25" xml:space="preserve"> -1/LN(5) * SUMPRODUCT(E19:E23, LN(E19:E23))</f>
        <v>0.99510338663359355</v>
      </c>
      <c r="F25" s="13" cm="1">
        <f t="array" ref="F25" xml:space="preserve"> -1/LN(5) * SUMPRODUCT(F19:F23, LN(F19:F23))</f>
        <v>0.99852472958669147</v>
      </c>
      <c r="G25" s="13" cm="1">
        <f t="array" ref="G25" xml:space="preserve"> -1/LN(5) * SUMPRODUCT(G19:G23, LN(G19:G23))</f>
        <v>0.99769839398785143</v>
      </c>
      <c r="H25" s="13" cm="1">
        <f t="array" ref="H25" xml:space="preserve"> -1/LN(5) * SUMPRODUCT(H19:H23, LN(H19:H23))</f>
        <v>0.99862492013012349</v>
      </c>
      <c r="I25" s="13" cm="1">
        <f t="array" ref="I25" xml:space="preserve"> -1/LN(5) * SUMPRODUCT(I19:I23, LN(I19:I23))</f>
        <v>0.99522704988672073</v>
      </c>
      <c r="J25" s="13" cm="1">
        <f t="array" ref="J25" xml:space="preserve"> -1/LN(5) * SUMPRODUCT(J19:J23, LN(J19:J23))</f>
        <v>0.99540763846788216</v>
      </c>
      <c r="K25" s="13" cm="1">
        <f t="array" ref="K25" xml:space="preserve"> -1/LN(5) * SUMPRODUCT(K19:K23, LN(K19:K23))</f>
        <v>0.95575788115496996</v>
      </c>
      <c r="L25" s="13" cm="1">
        <f t="array" ref="L25" xml:space="preserve"> -1/LN(5) * SUMPRODUCT(L19:L23, LN(L19:L23))</f>
        <v>0.98630528778140192</v>
      </c>
      <c r="M25" s="13" cm="1">
        <f t="array" ref="M25" xml:space="preserve"> -1/LN(5) * SUMPRODUCT(M19:M23, LN(M19:M23))</f>
        <v>0.97688595060643746</v>
      </c>
      <c r="N25" s="13" cm="1">
        <f t="array" ref="N25" xml:space="preserve"> -1/LN(5) * SUMPRODUCT(N19:N23, LN(N19:N23))</f>
        <v>0.98620394901094111</v>
      </c>
      <c r="O25" s="13" cm="1">
        <f t="array" ref="O25" xml:space="preserve"> -1/LN(5) * SUMPRODUCT(O19:O23, LN(O19:O23))</f>
        <v>0.99085513714639883</v>
      </c>
    </row>
    <row r="26" spans="1:15" ht="13.8" x14ac:dyDescent="0.3">
      <c r="A26" s="12" t="s">
        <v>23</v>
      </c>
      <c r="B26" s="13">
        <f>1-B25</f>
        <v>7.5325205861619393E-3</v>
      </c>
      <c r="C26" s="13">
        <f t="shared" ref="C26:O26" si="0">1-C25</f>
        <v>1.500746752106763E-3</v>
      </c>
      <c r="D26" s="13">
        <f t="shared" si="0"/>
        <v>1.3352672930807552E-3</v>
      </c>
      <c r="E26" s="13">
        <f t="shared" si="0"/>
        <v>4.8966133664064548E-3</v>
      </c>
      <c r="F26" s="13">
        <f t="shared" si="0"/>
        <v>1.475270413308527E-3</v>
      </c>
      <c r="G26" s="13">
        <f t="shared" si="0"/>
        <v>2.3016060121485715E-3</v>
      </c>
      <c r="H26" s="13">
        <f t="shared" si="0"/>
        <v>1.3750798698765054E-3</v>
      </c>
      <c r="I26" s="13">
        <f t="shared" si="0"/>
        <v>4.7729501132792729E-3</v>
      </c>
      <c r="J26" s="13">
        <f t="shared" si="0"/>
        <v>4.592361532117839E-3</v>
      </c>
      <c r="K26" s="13">
        <f t="shared" si="0"/>
        <v>4.4242118845030043E-2</v>
      </c>
      <c r="L26" s="13">
        <f t="shared" si="0"/>
        <v>1.3694712218598082E-2</v>
      </c>
      <c r="M26" s="13">
        <f t="shared" si="0"/>
        <v>2.3114049393562541E-2</v>
      </c>
      <c r="N26" s="13">
        <f t="shared" si="0"/>
        <v>1.3796050989058894E-2</v>
      </c>
      <c r="O26" s="13">
        <f t="shared" si="0"/>
        <v>9.1448628536011656E-3</v>
      </c>
    </row>
    <row r="27" spans="1:15" ht="13.8" x14ac:dyDescent="0.3">
      <c r="A27" s="12" t="s">
        <v>24</v>
      </c>
      <c r="B27" s="13">
        <f t="shared" ref="B27:O27" si="1">B26 / SUM($B$26:$O$26)</f>
        <v>5.630771860092993E-2</v>
      </c>
      <c r="C27" s="13">
        <f t="shared" si="1"/>
        <v>1.1218505789964852E-2</v>
      </c>
      <c r="D27" s="13">
        <f t="shared" si="1"/>
        <v>9.9815001015650991E-3</v>
      </c>
      <c r="E27" s="13">
        <f t="shared" si="1"/>
        <v>3.6603567740616502E-2</v>
      </c>
      <c r="F27" s="13">
        <f t="shared" si="1"/>
        <v>1.1028062962809705E-2</v>
      </c>
      <c r="G27" s="13">
        <f t="shared" si="1"/>
        <v>1.7205154925212719E-2</v>
      </c>
      <c r="H27" s="13">
        <f t="shared" si="1"/>
        <v>1.0279110356372948E-2</v>
      </c>
      <c r="I27" s="13">
        <f t="shared" si="1"/>
        <v>3.5679150000404405E-2</v>
      </c>
      <c r="J27" s="13">
        <f t="shared" si="1"/>
        <v>3.4329199357154928E-2</v>
      </c>
      <c r="K27" s="13">
        <f t="shared" si="1"/>
        <v>0.33072233254979833</v>
      </c>
      <c r="L27" s="13">
        <f t="shared" si="1"/>
        <v>0.1023718412853946</v>
      </c>
      <c r="M27" s="13">
        <f t="shared" si="1"/>
        <v>0.17278404673353442</v>
      </c>
      <c r="N27" s="13">
        <f t="shared" si="1"/>
        <v>0.10312937721313631</v>
      </c>
      <c r="O27" s="13">
        <f t="shared" si="1"/>
        <v>6.8360432383105241E-2</v>
      </c>
    </row>
    <row r="28" spans="1:15" s="7" customFormat="1" x14ac:dyDescent="0.25"/>
    <row r="29" spans="1:15" ht="34.799999999999997" x14ac:dyDescent="0.3">
      <c r="A29" s="30" t="s">
        <v>25</v>
      </c>
    </row>
    <row r="30" spans="1:15" ht="14.4" x14ac:dyDescent="0.3">
      <c r="A30" s="8" t="s">
        <v>14</v>
      </c>
      <c r="B30" s="8" t="s">
        <v>10</v>
      </c>
      <c r="C30" s="8" t="s">
        <v>7</v>
      </c>
      <c r="D30" s="8" t="s">
        <v>12</v>
      </c>
      <c r="E30" s="8" t="s">
        <v>11</v>
      </c>
      <c r="F30" s="8" t="s">
        <v>4</v>
      </c>
      <c r="G30" s="8" t="s">
        <v>9</v>
      </c>
      <c r="H30" s="8" t="s">
        <v>6</v>
      </c>
      <c r="I30" s="8" t="s">
        <v>0</v>
      </c>
      <c r="J30" s="8" t="s">
        <v>3</v>
      </c>
      <c r="K30" s="8" t="s">
        <v>13</v>
      </c>
      <c r="L30" s="8" t="s">
        <v>8</v>
      </c>
      <c r="M30" s="8" t="s">
        <v>5</v>
      </c>
      <c r="N30" s="8" t="s">
        <v>2</v>
      </c>
      <c r="O30" s="8" t="s">
        <v>1</v>
      </c>
    </row>
    <row r="31" spans="1:15" ht="14.4" x14ac:dyDescent="0.3">
      <c r="A31" s="8" t="s">
        <v>27</v>
      </c>
      <c r="B31" s="8">
        <f t="shared" ref="B31:B34" si="2">B11*$B$27</f>
        <v>2.3637599243487923E-2</v>
      </c>
      <c r="C31" s="8">
        <f t="shared" ref="C31:C35" si="3">C11*$C$27</f>
        <v>5.0002548897584969E-3</v>
      </c>
      <c r="D31" s="8">
        <f t="shared" ref="D31:D35" si="4">D11*$D$27</f>
        <v>4.8931230629706687E-3</v>
      </c>
      <c r="E31" s="8">
        <f t="shared" ref="E31:E35" si="5">E11*$E$27</f>
        <v>1.2593139380131303E-2</v>
      </c>
      <c r="F31" s="8">
        <f t="shared" ref="F31:F35" si="6">F11*$F$27</f>
        <v>5.2208081578089035E-3</v>
      </c>
      <c r="G31" s="8">
        <f t="shared" ref="G31:G35" si="7">G11*$G$27</f>
        <v>6.4550531341195727E-3</v>
      </c>
      <c r="H31" s="8">
        <f t="shared" ref="H31:H35" si="8">H11*$H$27</f>
        <v>4.8789410185984912E-3</v>
      </c>
      <c r="I31" s="8">
        <f t="shared" ref="I31:I35" si="9">I11*$I$27</f>
        <v>1.4996782300330448E-2</v>
      </c>
      <c r="J31" s="8">
        <f t="shared" ref="J31:J35" si="10">J11*$J$27</f>
        <v>1.3360323560837321E-2</v>
      </c>
      <c r="K31" s="8">
        <f t="shared" ref="K31:K35" si="11">K11*$K$27</f>
        <v>0.21037988971591842</v>
      </c>
      <c r="L31" s="8">
        <f t="shared" ref="L31:L35" si="12">L11*$L$27</f>
        <v>5.3467342274416768E-2</v>
      </c>
      <c r="M31" s="8">
        <f t="shared" ref="M31:M35" si="13">M11*$M$27</f>
        <v>0.11030787769395543</v>
      </c>
      <c r="N31" s="8">
        <f t="shared" ref="N31:N35" si="14">N11*$N$27</f>
        <v>6.1502937886594382E-2</v>
      </c>
      <c r="O31" s="8">
        <f t="shared" ref="O31:O35" si="15">O11*$O$27</f>
        <v>3.6209827243030034E-2</v>
      </c>
    </row>
    <row r="32" spans="1:15" ht="14.4" x14ac:dyDescent="0.3">
      <c r="A32" s="8" t="s">
        <v>28</v>
      </c>
      <c r="B32" s="8">
        <f t="shared" si="2"/>
        <v>2.1740745980053003E-2</v>
      </c>
      <c r="C32" s="8">
        <f t="shared" si="3"/>
        <v>5.2060562089931844E-3</v>
      </c>
      <c r="D32" s="8">
        <f t="shared" si="4"/>
        <v>4.3839030670021839E-3</v>
      </c>
      <c r="E32" s="8">
        <f t="shared" si="5"/>
        <v>1.6496979229409837E-2</v>
      </c>
      <c r="F32" s="8">
        <f t="shared" si="6"/>
        <v>5.0495053015163936E-3</v>
      </c>
      <c r="G32" s="8">
        <f t="shared" si="7"/>
        <v>7.9920116422330656E-3</v>
      </c>
      <c r="H32" s="8">
        <f t="shared" si="8"/>
        <v>4.4178215931140949E-3</v>
      </c>
      <c r="I32" s="8">
        <f t="shared" si="9"/>
        <v>1.2823375011432362E-2</v>
      </c>
      <c r="J32" s="8">
        <f t="shared" si="10"/>
        <v>1.4673808639921581E-2</v>
      </c>
      <c r="K32" s="8">
        <f t="shared" si="11"/>
        <v>0.14428460359883427</v>
      </c>
      <c r="L32" s="8">
        <f t="shared" si="12"/>
        <v>5.5677878389121346E-2</v>
      </c>
      <c r="M32" s="8">
        <f t="shared" si="13"/>
        <v>7.7321434158588775E-2</v>
      </c>
      <c r="N32" s="8">
        <f t="shared" si="14"/>
        <v>4.8985362046822786E-2</v>
      </c>
      <c r="O32" s="8">
        <f t="shared" si="15"/>
        <v>3.6170610823633251E-2</v>
      </c>
    </row>
    <row r="33" spans="1:15" ht="14.4" x14ac:dyDescent="0.3">
      <c r="A33" s="8" t="s">
        <v>29</v>
      </c>
      <c r="B33" s="8">
        <f t="shared" si="2"/>
        <v>2.2791471537090432E-2</v>
      </c>
      <c r="C33" s="8">
        <f t="shared" si="3"/>
        <v>4.3439337098005095E-3</v>
      </c>
      <c r="D33" s="8">
        <f t="shared" si="4"/>
        <v>3.9904184477396777E-3</v>
      </c>
      <c r="E33" s="8">
        <f t="shared" si="5"/>
        <v>1.7216387024103184E-2</v>
      </c>
      <c r="F33" s="8">
        <f t="shared" si="6"/>
        <v>4.4601606100100732E-3</v>
      </c>
      <c r="G33" s="8">
        <f t="shared" si="7"/>
        <v>7.6549335989173593E-3</v>
      </c>
      <c r="H33" s="8">
        <f t="shared" si="8"/>
        <v>4.1768495062169632E-3</v>
      </c>
      <c r="I33" s="8">
        <f t="shared" si="9"/>
        <v>1.5813047703703082E-2</v>
      </c>
      <c r="J33" s="8">
        <f t="shared" si="10"/>
        <v>1.3772130380420739E-2</v>
      </c>
      <c r="K33" s="8">
        <f t="shared" si="11"/>
        <v>0.15592862411880076</v>
      </c>
      <c r="L33" s="8">
        <f t="shared" si="12"/>
        <v>3.1567245195165079E-2</v>
      </c>
      <c r="M33" s="8">
        <f t="shared" si="13"/>
        <v>4.7815211730164495E-2</v>
      </c>
      <c r="N33" s="8">
        <f t="shared" si="14"/>
        <v>3.8181796699442973E-2</v>
      </c>
      <c r="O33" s="8">
        <f t="shared" si="15"/>
        <v>2.6415526498683371E-2</v>
      </c>
    </row>
    <row r="34" spans="1:15" ht="14.4" x14ac:dyDescent="0.3">
      <c r="A34" s="8" t="s">
        <v>30</v>
      </c>
      <c r="B34" s="8">
        <f t="shared" si="2"/>
        <v>3.2755259241502868E-2</v>
      </c>
      <c r="C34" s="8">
        <f t="shared" si="3"/>
        <v>5.2245566053100547E-3</v>
      </c>
      <c r="D34" s="8">
        <f t="shared" si="4"/>
        <v>4.4416413519351283E-3</v>
      </c>
      <c r="E34" s="8">
        <f t="shared" si="5"/>
        <v>1.6319963605450773E-2</v>
      </c>
      <c r="F34" s="8">
        <f t="shared" si="6"/>
        <v>5.2899579340328672E-3</v>
      </c>
      <c r="G34" s="8">
        <f t="shared" si="7"/>
        <v>7.8599764632198421E-3</v>
      </c>
      <c r="H34" s="8">
        <f t="shared" si="8"/>
        <v>4.4624460540075963E-3</v>
      </c>
      <c r="I34" s="8">
        <f t="shared" si="9"/>
        <v>1.8725032646254285E-2</v>
      </c>
      <c r="J34" s="8">
        <f t="shared" si="10"/>
        <v>1.8619049863053815E-2</v>
      </c>
      <c r="K34" s="8">
        <f t="shared" si="11"/>
        <v>5.5688794292343184E-2</v>
      </c>
      <c r="L34" s="8">
        <f t="shared" si="12"/>
        <v>4.6405468865119502E-2</v>
      </c>
      <c r="M34" s="8">
        <f t="shared" si="13"/>
        <v>6.3703177653162191E-2</v>
      </c>
      <c r="N34" s="8">
        <f t="shared" si="14"/>
        <v>3.3759468767662115E-2</v>
      </c>
      <c r="O34" s="8">
        <f t="shared" si="15"/>
        <v>2.3549459847768447E-2</v>
      </c>
    </row>
    <row r="35" spans="1:15" ht="14.4" x14ac:dyDescent="0.3">
      <c r="A35" s="8" t="s">
        <v>31</v>
      </c>
      <c r="B35" s="8">
        <f>B15*$B$27</f>
        <v>2.3383858908925116E-2</v>
      </c>
      <c r="C35" s="8">
        <f t="shared" si="3"/>
        <v>5.2520043934191967E-3</v>
      </c>
      <c r="D35" s="8">
        <f t="shared" si="4"/>
        <v>4.5626163086562761E-3</v>
      </c>
      <c r="E35" s="8">
        <f t="shared" si="5"/>
        <v>1.8610171787277009E-2</v>
      </c>
      <c r="F35" s="8">
        <f t="shared" si="6"/>
        <v>4.5811727199578812E-3</v>
      </c>
      <c r="G35" s="8">
        <f t="shared" si="7"/>
        <v>8.3725836239760508E-3</v>
      </c>
      <c r="H35" s="8">
        <f t="shared" si="8"/>
        <v>4.9979395799101753E-3</v>
      </c>
      <c r="I35" s="8">
        <f t="shared" si="9"/>
        <v>1.6822009196916614E-2</v>
      </c>
      <c r="J35" s="8">
        <f t="shared" si="10"/>
        <v>1.5758630328610173E-2</v>
      </c>
      <c r="K35" s="8">
        <f t="shared" si="11"/>
        <v>0.12994052018253383</v>
      </c>
      <c r="L35" s="8">
        <f t="shared" si="12"/>
        <v>3.7030427307220656E-2</v>
      </c>
      <c r="M35" s="8">
        <f t="shared" si="13"/>
        <v>7.3235957206960814E-2</v>
      </c>
      <c r="N35" s="8">
        <f t="shared" si="14"/>
        <v>4.308062267605263E-2</v>
      </c>
      <c r="O35" s="8">
        <f t="shared" si="15"/>
        <v>2.8307718734578172E-2</v>
      </c>
    </row>
    <row r="36" spans="1:15" s="9" customFormat="1" ht="14.4" x14ac:dyDescent="0.3"/>
    <row r="37" spans="1:15" s="6" customFormat="1" ht="14.4" x14ac:dyDescent="0.3">
      <c r="A37" s="31" t="s">
        <v>37</v>
      </c>
    </row>
    <row r="38" spans="1:15" s="6" customFormat="1" ht="14.4" x14ac:dyDescent="0.3">
      <c r="A38" s="31"/>
    </row>
    <row r="39" spans="1:15" ht="14.4" x14ac:dyDescent="0.3">
      <c r="A39" s="18" t="s">
        <v>40</v>
      </c>
      <c r="B39" s="19" t="s">
        <v>10</v>
      </c>
      <c r="C39" s="19" t="s">
        <v>7</v>
      </c>
      <c r="D39" s="19" t="s">
        <v>12</v>
      </c>
      <c r="E39" s="19" t="s">
        <v>11</v>
      </c>
      <c r="F39" s="19" t="s">
        <v>4</v>
      </c>
      <c r="G39" s="19" t="s">
        <v>9</v>
      </c>
      <c r="H39" s="19" t="s">
        <v>6</v>
      </c>
      <c r="I39" s="19" t="s">
        <v>0</v>
      </c>
      <c r="J39" s="19" t="s">
        <v>3</v>
      </c>
      <c r="K39" s="19" t="s">
        <v>13</v>
      </c>
      <c r="L39" s="19" t="s">
        <v>8</v>
      </c>
      <c r="M39" s="19" t="s">
        <v>5</v>
      </c>
      <c r="N39" s="19" t="s">
        <v>2</v>
      </c>
      <c r="O39" s="20" t="s">
        <v>1</v>
      </c>
    </row>
    <row r="40" spans="1:15" x14ac:dyDescent="0.25">
      <c r="A40" s="15" t="s">
        <v>32</v>
      </c>
      <c r="B40" s="13">
        <f>MIN(Table79[manufacturing_costs])</f>
        <v>2.1740745980053003E-2</v>
      </c>
      <c r="C40" s="13">
        <f>MIN(Table79[shipping_costs])</f>
        <v>4.3439337098005095E-3</v>
      </c>
      <c r="D40" s="13">
        <f>MIN(Table79[costs])</f>
        <v>3.9904184477396777E-3</v>
      </c>
      <c r="E40" s="13">
        <f>MAX(Table79[defect_rates])</f>
        <v>1.8610171787277009E-2</v>
      </c>
      <c r="F40" s="13">
        <f>MIN(Table79[lead_times])</f>
        <v>4.4601606100100732E-3</v>
      </c>
      <c r="G40" s="13">
        <f>MIN(Table79[manufacturing_lead_time])</f>
        <v>6.4550531341195727E-3</v>
      </c>
      <c r="H40" s="13">
        <f>MIN(Table79[shipping_times])</f>
        <v>4.1768495062169632E-3</v>
      </c>
      <c r="I40" s="13">
        <f>MAX(Table79[availability])</f>
        <v>1.8725032646254285E-2</v>
      </c>
      <c r="J40" s="13">
        <f>MAX(Table79[stock_levels])</f>
        <v>1.8619049863053815E-2</v>
      </c>
      <c r="K40" s="13">
        <f>MAX(Table79[inspection_results])</f>
        <v>0.21037988971591842</v>
      </c>
      <c r="L40" s="13">
        <f>MAX(Table79[production_volumes])</f>
        <v>5.5677878389121346E-2</v>
      </c>
      <c r="M40" s="13">
        <f>MAX(Table79[order_quantities])</f>
        <v>0.11030787769395543</v>
      </c>
      <c r="N40" s="13">
        <f>MAX(Table79[revenue_generated])</f>
        <v>6.1502937886594382E-2</v>
      </c>
      <c r="O40" s="17">
        <f>MAX(Table79[number_of_products_sold])</f>
        <v>3.6209827243030034E-2</v>
      </c>
    </row>
    <row r="41" spans="1:15" x14ac:dyDescent="0.25">
      <c r="A41" s="21" t="s">
        <v>26</v>
      </c>
      <c r="B41" s="22">
        <f>MAX(Table79[manufacturing_costs])</f>
        <v>3.2755259241502868E-2</v>
      </c>
      <c r="C41" s="22">
        <f>MAX(Table79[shipping_costs])</f>
        <v>5.2520043934191967E-3</v>
      </c>
      <c r="D41" s="22">
        <f>MAX(Table79[costs])</f>
        <v>4.8931230629706687E-3</v>
      </c>
      <c r="E41" s="22">
        <f>MIN(Table79[defect_rates])</f>
        <v>1.2593139380131303E-2</v>
      </c>
      <c r="F41" s="22">
        <f>MAX(Table79[lead_times])</f>
        <v>5.2899579340328672E-3</v>
      </c>
      <c r="G41" s="22">
        <f>MAX(Table79[manufacturing_lead_time])</f>
        <v>8.3725836239760508E-3</v>
      </c>
      <c r="H41" s="22">
        <f>MAX(Table79[shipping_times])</f>
        <v>4.9979395799101753E-3</v>
      </c>
      <c r="I41" s="22">
        <f>MIN(Table79[availability])</f>
        <v>1.2823375011432362E-2</v>
      </c>
      <c r="J41" s="22">
        <f>MIN(Table79[stock_levels])</f>
        <v>1.3360323560837321E-2</v>
      </c>
      <c r="K41" s="22">
        <f>MIN(Table79[inspection_results])</f>
        <v>5.5688794292343184E-2</v>
      </c>
      <c r="L41" s="22">
        <f>MIN(Table79[production_volumes])</f>
        <v>3.1567245195165079E-2</v>
      </c>
      <c r="M41" s="22">
        <f>MIN(Table79[order_quantities])</f>
        <v>4.7815211730164495E-2</v>
      </c>
      <c r="N41" s="22">
        <f>MIN(Table79[revenue_generated])</f>
        <v>3.3759468767662115E-2</v>
      </c>
      <c r="O41" s="23">
        <f>MIN(Table79[number_of_products_sold])</f>
        <v>2.3549459847768447E-2</v>
      </c>
    </row>
    <row r="42" spans="1:15" ht="14.4" x14ac:dyDescent="0.3"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ht="14.4" x14ac:dyDescent="0.3"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ht="14.4" x14ac:dyDescent="0.3">
      <c r="A44" s="25" t="s">
        <v>14</v>
      </c>
      <c r="B44" s="19" t="s">
        <v>35</v>
      </c>
      <c r="C44" s="19" t="s">
        <v>36</v>
      </c>
      <c r="D44" s="19" t="s">
        <v>38</v>
      </c>
      <c r="E44" s="26" t="s">
        <v>39</v>
      </c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 ht="14.4" x14ac:dyDescent="0.3">
      <c r="A45" s="24" t="s">
        <v>27</v>
      </c>
      <c r="B45" s="14" cm="1">
        <f t="array" ref="B45">SQRT(SUMPRODUCT((B31:O31 - $B$40:$O$40)^2))</f>
        <v>9.4106537746808366E-3</v>
      </c>
      <c r="C45" s="14" cm="1">
        <f t="array" ref="C45">SQRT(SUMPRODUCT((B31:O31 - $B$41:$O$41)^2))</f>
        <v>0.17127720864857798</v>
      </c>
      <c r="D45" s="14">
        <f>C45 / (B45 + C45)</f>
        <v>0.94791762076062136</v>
      </c>
      <c r="E45" s="16">
        <v>1</v>
      </c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ht="14.4" x14ac:dyDescent="0.3">
      <c r="A46" s="24" t="s">
        <v>28</v>
      </c>
      <c r="B46" s="14" cm="1">
        <f t="array" ref="B46">SQRT(SUMPRODUCT((B32:O32 - $B$40:$O$40)^2))</f>
        <v>7.5312079657210748E-2</v>
      </c>
      <c r="C46" s="14" cm="1">
        <f t="array" ref="C46">SQRT(SUMPRODUCT((B32:O32 - $B$41:$O$41)^2))</f>
        <v>9.9153234018936665E-2</v>
      </c>
      <c r="D46" s="14">
        <f t="shared" ref="D46:D49" si="16">C46 / (B46 + C46)</f>
        <v>0.56832634481711719</v>
      </c>
      <c r="E46" s="16">
        <v>2</v>
      </c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5" ht="14.4" x14ac:dyDescent="0.3">
      <c r="A47" s="24" t="s">
        <v>29</v>
      </c>
      <c r="B47" s="14" cm="1">
        <f t="array" ref="B47">SQRT(SUMPRODUCT((B33:O33 - $B$40:$O$40)^2))</f>
        <v>9.0154638642800364E-2</v>
      </c>
      <c r="C47" s="14" cm="1">
        <f t="array" ref="C47">SQRT(SUMPRODUCT((B33:O33 - $B$41:$O$41)^2))</f>
        <v>0.10103994883181538</v>
      </c>
      <c r="D47" s="14">
        <f t="shared" si="16"/>
        <v>0.52846657515987527</v>
      </c>
      <c r="E47" s="16">
        <v>3</v>
      </c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ht="14.4" x14ac:dyDescent="0.3">
      <c r="A48" s="24" t="s">
        <v>30</v>
      </c>
      <c r="B48" s="14" cm="1">
        <f t="array" ref="B48">SQRT(SUMPRODUCT((B34:O34 - $B$40:$O$40)^2))</f>
        <v>0.16506841982099046</v>
      </c>
      <c r="C48" s="14" cm="1">
        <f t="array" ref="C48">SQRT(SUMPRODUCT((B34:O34 - $B$41:$O$41)^2))</f>
        <v>2.3446266981134736E-2</v>
      </c>
      <c r="D48" s="14">
        <f t="shared" si="16"/>
        <v>0.12437368875001849</v>
      </c>
      <c r="E48" s="17">
        <v>4</v>
      </c>
    </row>
    <row r="49" spans="1:5" ht="14.4" x14ac:dyDescent="0.3">
      <c r="A49" s="27" t="s">
        <v>31</v>
      </c>
      <c r="B49" s="28" cm="1">
        <f t="array" ref="B49">SQRT(SUMPRODUCT((B35:O35 - $B$40:$O$40)^2))</f>
        <v>9.2813754287858138E-2</v>
      </c>
      <c r="C49" s="28" cm="1">
        <f t="array" ref="C49">SQRT(SUMPRODUCT((B35:O35 - $B$41:$O$41)^2))</f>
        <v>8.0282530976255623E-2</v>
      </c>
      <c r="D49" s="28">
        <f t="shared" si="16"/>
        <v>0.46380273761368679</v>
      </c>
      <c r="E49" s="23">
        <v>5</v>
      </c>
    </row>
  </sheetData>
  <mergeCells count="6">
    <mergeCell ref="A8:XFD8"/>
    <mergeCell ref="A16:XFD16"/>
    <mergeCell ref="A28:XFD28"/>
    <mergeCell ref="A36:XFD36"/>
    <mergeCell ref="A37:A38"/>
    <mergeCell ref="B37:XFD38"/>
  </mergeCells>
  <phoneticPr fontId="7" type="noConversion"/>
  <pageMargins left="0.75" right="0.75" top="1" bottom="1" header="0.5" footer="0.5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supplier_summary</vt:lpstr>
      <vt:lpstr>conditions</vt:lpstr>
      <vt:lpstr>topsis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Cường Đặng</cp:lastModifiedBy>
  <dcterms:created xsi:type="dcterms:W3CDTF">2025-11-02T07:48:47Z</dcterms:created>
  <dcterms:modified xsi:type="dcterms:W3CDTF">2025-11-02T11:07:38Z</dcterms:modified>
</cp:coreProperties>
</file>